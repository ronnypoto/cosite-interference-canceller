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EADME" sheetId="1" state="visible" r:id="rId3"/>
    <sheet name="T1_BandSweep" sheetId="2" state="visible" r:id="rId4"/>
    <sheet name="T2_Separation" sheetId="3" state="visible" r:id="rId5"/>
    <sheet name="T3_Convergence" sheetId="4" state="visible" r:id="rId6"/>
    <sheet name="T3_RawCSV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<sst xmlns="http://schemas.openxmlformats.org/spreadsheetml/2006/main" count="118" uniqueCount="103">
  <si>
    <t xml:space="preserve">Co-Site Canceller - Advisor Test Programme</t>
  </si>
  <si>
    <t xml:space="preserve">Ronny Pustilnik / Adir Lemaer - Afeka - 30-88 MHz VHF</t>
  </si>
  <si>
    <t xml:space="preserve">THE THREE REQUESTED TESTS</t>
  </si>
  <si>
    <t xml:space="preserve">1. Cancellation across the whole 30-88 MHz band, in 5 MHz steps</t>
  </si>
  <si>
    <t xml:space="preserve">-&gt; sheet T1_BandSweep</t>
  </si>
  <si>
    <t xml:space="preserve">2. How close in frequency the interferer may be before the wanted</t>
  </si>
  <si>
    <t xml:space="preserve">-&gt; sheet T2_Separation</t>
  </si>
  <si>
    <t xml:space="preserve">   signal is degraded by more than 0.5 dB</t>
  </si>
  <si>
    <t xml:space="preserve">3. Convergence time of the algorithm</t>
  </si>
  <si>
    <t xml:space="preserve">-&gt; sheet T3_Convergence</t>
  </si>
  <si>
    <t xml:space="preserve">HOW TO USE</t>
  </si>
  <si>
    <t xml:space="preserve">Type only in YELLOW cells. Grey cells are formulas.</t>
  </si>
  <si>
    <t xml:space="preserve">Grey italic rows are examples - delete them before submitting.</t>
  </si>
  <si>
    <t xml:space="preserve">BASELINE DEFINITION - important</t>
  </si>
  <si>
    <t xml:space="preserve">The uncancelled reference is the 'z' state (I = Q = 0, true zero weight</t>
  </si>
  <si>
    <t xml:space="preserve">after the VREF calibration). This was verified against a physically</t>
  </si>
  <si>
    <t xml:space="preserve">disconnected replica: z reads within ~1 dB of the disconnected case,</t>
  </si>
  <si>
    <t xml:space="preserve">so z is a valid baseline and is far quicker to use at every point.</t>
  </si>
  <si>
    <t xml:space="preserve">MEASURING FROM THE ANALYSER</t>
  </si>
  <si>
    <t xml:space="preserve">Set the marker to the tone frequency MANUALLY every time.</t>
  </si>
  <si>
    <t xml:space="preserve">Do NOT use Peak Search - once the interferer drops below the wanted</t>
  </si>
  <si>
    <t xml:space="preserve">tone it will jump to the wrong peak and the numbers become nonsense.</t>
  </si>
  <si>
    <t xml:space="preserve">Span 500 kHz, RBW 30 kHz, VBW 30 kHz keeps the sweep near 100 ms.</t>
  </si>
  <si>
    <t xml:space="preserve">Fix the attenuation at 20 dB for the whole session.</t>
  </si>
  <si>
    <t xml:space="preserve">MEASURED SYSTEM CONSTANTS</t>
  </si>
  <si>
    <t xml:space="preserve">Combiner isolation ceiling (dB)</t>
  </si>
  <si>
    <t xml:space="preserve">measured: REF -36.24, NULL -57.33 dBm</t>
  </si>
  <si>
    <t xml:space="preserve">dB per ADC count</t>
  </si>
  <si>
    <t xml:space="preserve">AD8307 25 mV/dB, ADC LSB 3.3/4096 V</t>
  </si>
  <si>
    <t xml:space="preserve">Control loop tick (ms)</t>
  </si>
  <si>
    <t xml:space="preserve">TIM2 at 30 kHz (ARR = 32)</t>
  </si>
  <si>
    <t xml:space="preserve">Hop-time target (ms)</t>
  </si>
  <si>
    <t xml:space="preserve">tactical VHF frequency-hop interval</t>
  </si>
  <si>
    <t xml:space="preserve">TEST 1 - Cancellation across 30-88 MHz, with the wanted signal alongside</t>
  </si>
  <si>
    <t xml:space="preserve">Both tones move together across the band, holding a fixed frequency offset.</t>
  </si>
  <si>
    <t xml:space="preserve">Per row:  z -&gt; read BOTH markers  -&gt;  k  -&gt; wait 2 s -&gt; read BOTH markers again.</t>
  </si>
  <si>
    <t xml:space="preserve">Set both analyser markers MANUALLY by frequency. Never use Peak Search.</t>
  </si>
  <si>
    <t xml:space="preserve">Wanted offset from interferer (MHz)</t>
  </si>
  <si>
    <t xml:space="preserve">negative = wanted BELOW interferer. Change to suit.</t>
  </si>
  <si>
    <t xml:space="preserve">Interf (MHz)</t>
  </si>
  <si>
    <t xml:space="preserve">Wanted (MHz)</t>
  </si>
  <si>
    <t xml:space="preserve">Interf before (dBm)</t>
  </si>
  <si>
    <t xml:space="preserve">Interf after (dBm)</t>
  </si>
  <si>
    <t xml:space="preserve">Interf depth (dB)</t>
  </si>
  <si>
    <t xml:space="preserve">Wanted before (dBm)</t>
  </si>
  <si>
    <t xml:space="preserve">Wanted after (dBm)</t>
  </si>
  <si>
    <t xml:space="preserve">Wanted loss (dB)</t>
  </si>
  <si>
    <t xml:space="preserve">&lt;=0.5 dB?</t>
  </si>
  <si>
    <t xml:space="preserve">Best I</t>
  </si>
  <si>
    <t xml:space="preserve">Best Q</t>
  </si>
  <si>
    <t xml:space="preserve">Notes</t>
  </si>
  <si>
    <t xml:space="preserve">limit 0.5</t>
  </si>
  <si>
    <t xml:space="preserve">zero</t>
  </si>
  <si>
    <t xml:space="preserve">Minimum interferer depth across band</t>
  </si>
  <si>
    <t xml:space="preserve">dB  &lt;- quote THIS as the guaranteed figure</t>
  </si>
  <si>
    <t xml:space="preserve">Mean interferer depth</t>
  </si>
  <si>
    <t xml:space="preserve">dB</t>
  </si>
  <si>
    <t xml:space="preserve">Best interferer depth</t>
  </si>
  <si>
    <t xml:space="preserve">Worst wanted-signal loss</t>
  </si>
  <si>
    <t xml:space="preserve">dB  &lt;- must stay &lt;= 0.5</t>
  </si>
  <si>
    <t xml:space="preserve">Mean wanted-signal loss</t>
  </si>
  <si>
    <t xml:space="preserve">Combiner ceiling (measured)</t>
  </si>
  <si>
    <t xml:space="preserve">dB - no result can exceed this</t>
  </si>
  <si>
    <t xml:space="preserve">TEST 2 - How close may the interferer sit before the wanted signal is hurt?</t>
  </si>
  <si>
    <t xml:space="preserve">Wanted generator FIXED (suggest 57 MHz). Move the INTERFERER closer each row.</t>
  </si>
  <si>
    <t xml:space="preserve">Per row:  z -&gt; read BOTH markers (wanted + interferer)  -&gt;  k  -&gt; wait 2 s -&gt; read BOTH again.</t>
  </si>
  <si>
    <t xml:space="preserve">PASS = wanted degradation &lt;= 0.5 dB.  Report the SMALLEST separation that still passes.</t>
  </si>
  <si>
    <t xml:space="preserve">df (MHz)</t>
  </si>
  <si>
    <t xml:space="preserve">PASS?</t>
  </si>
  <si>
    <t xml:space="preserve">Closest separation that still PASSES (MHz)</t>
  </si>
  <si>
    <t xml:space="preserve">&lt;- enter with Ctrl+Shift+Enter if it shows blank</t>
  </si>
  <si>
    <t xml:space="preserve">Wanted-signal loss limit used (dB)</t>
  </si>
  <si>
    <t xml:space="preserve">as specified by the advisor</t>
  </si>
  <si>
    <t xml:space="preserve">WHY THE WANTED SIGNAL CAN BE HURT AT ALL</t>
  </si>
  <si>
    <t xml:space="preserve">The replica is built only from the reference tap, which contains only the interferer,</t>
  </si>
  <si>
    <t xml:space="preserve">so in principle it cannot cancel the wanted tone. Two real mechanisms remain:</t>
  </si>
  <si>
    <t xml:space="preserve">  (a) the AD8307 is WIDEBAND - as df shrinks it cannot separate the two tones, the</t>
  </si>
  <si>
    <t xml:space="preserve">      loop mis-converges, and the injected replica no longer matches the interferer;</t>
  </si>
  <si>
    <t xml:space="preserve">  (b) broadband noise on the replica falls on the wanted frequency, raising its floor.</t>
  </si>
  <si>
    <t xml:space="preserve">Both worsen as df shrinks, which is exactly what this test quantifies.</t>
  </si>
  <si>
    <t xml:space="preserve">TEST 3 - Convergence time of the adaptive algorithm</t>
  </si>
  <si>
    <t xml:space="preserve">Per run:  z  -&gt;  a  -&gt; wait 2 s -&gt;  g .  Copy the timing block from the console into a row.</t>
  </si>
  <si>
    <t xml:space="preserve">The MCU logs the detector on EVERY 33 us tick, so the analyser sweep time is irrelevant here.</t>
  </si>
  <si>
    <t xml:space="preserve">Repeat each frequency 3 times - convergence varies with the starting point and with noise.</t>
  </si>
  <si>
    <t xml:space="preserve">Freq (MHz)</t>
  </si>
  <si>
    <t xml:space="preserve">Run</t>
  </si>
  <si>
    <t xml:space="preserve">t(-3dB)</t>
  </si>
  <si>
    <t xml:space="preserve">t(-6dB)</t>
  </si>
  <si>
    <t xml:space="preserve">t(-10dB)</t>
  </si>
  <si>
    <t xml:space="preserve">t(-15dB)</t>
  </si>
  <si>
    <t xml:space="preserve">t(-20dB)</t>
  </si>
  <si>
    <t xml:space="preserve">Locked (ms)</t>
  </si>
  <si>
    <t xml:space="preserve">Max depth (dB)</t>
  </si>
  <si>
    <t xml:space="preserve">&lt;=10 ms?</t>
  </si>
  <si>
    <t xml:space="preserve">Mean t(-15 dB)</t>
  </si>
  <si>
    <t xml:space="preserve">ms</t>
  </si>
  <si>
    <t xml:space="preserve">Worst t(-15 dB)</t>
  </si>
  <si>
    <t xml:space="preserve">ms  &lt;- quote this, it is the honest figure</t>
  </si>
  <si>
    <t xml:space="preserve">Mean max depth</t>
  </si>
  <si>
    <t xml:space="preserve">Paste one full 'g' CSV dump here (ms, adc, depth_dB)</t>
  </si>
  <si>
    <t xml:space="preserve">Use PuTTY with session logging enabled, then paste. This becomes the convergence figure.</t>
  </si>
  <si>
    <t xml:space="preserve">adc</t>
  </si>
  <si>
    <t xml:space="preserve">depth_dB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</si>
</sst>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0.00"/>
    <numFmt numFmtId="167" formatCode="0.0"/>
    <numFmt numFmtId="168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1F3864"/>
      <name val="Arial"/>
      <family val="0"/>
      <charset val="1"/>
    </font>
    <font>
      <b val="true"/>
      <sz val="13"/>
      <color rgb="FF1F3864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9D9D9"/>
      </patternFill>
    </fill>
    <fill>
      <patternFill patternType="solid">
        <fgColor rgb="FFFFFF99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2F2F2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B3B3B3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Interferer cancellation across the VHF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T1_BandSweep!F9</c:f>
              <c:strCache>
                <c:ptCount val="1"/>
                <c:pt idx="0">
                  <c:v>Interf depth (dB)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circle"/>
            <c:size val="6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T1_BandSweep!$B$10:$B$23</c:f>
              <c:numCache>
                <c:formatCode>0.000</c:formatCode>
                <c:ptCount val="14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57</c:v>
                </c:pt>
                <c:pt idx="7">
                  <c:v>60</c:v>
                </c:pt>
                <c:pt idx="8">
                  <c:v>65</c:v>
                </c:pt>
                <c:pt idx="9">
                  <c:v>70</c:v>
                </c:pt>
                <c:pt idx="10">
                  <c:v>75</c:v>
                </c:pt>
                <c:pt idx="11">
                  <c:v>80</c:v>
                </c:pt>
                <c:pt idx="12">
                  <c:v>85</c:v>
                </c:pt>
                <c:pt idx="13">
                  <c:v>88</c:v>
                </c:pt>
              </c:numCache>
            </c:numRef>
          </c:xVal>
          <c:yVal>
            <c:numRef>
              <c:f>T1_BandSweep!$F$10:$F$23</c:f>
              <c:numCache>
                <c:formatCode>0.0</c:formatCode>
                <c:ptCount val="14"/>
                <c:pt idx="1">
                  <c:v>26.81</c:v>
                </c:pt>
                <c:pt idx="2">
                  <c:v>26.89</c:v>
                </c:pt>
                <c:pt idx="3">
                  <c:v>26.59</c:v>
                </c:pt>
                <c:pt idx="4">
                  <c:v>28.55</c:v>
                </c:pt>
                <c:pt idx="5">
                  <c:v>24.33</c:v>
                </c:pt>
                <c:pt idx="6">
                  <c:v>23.81</c:v>
                </c:pt>
                <c:pt idx="7">
                  <c:v>23.03</c:v>
                </c:pt>
                <c:pt idx="8">
                  <c:v>21.63</c:v>
                </c:pt>
                <c:pt idx="9">
                  <c:v>20</c:v>
                </c:pt>
                <c:pt idx="10">
                  <c:v>18.93</c:v>
                </c:pt>
                <c:pt idx="11">
                  <c:v>17.15</c:v>
                </c:pt>
                <c:pt idx="12">
                  <c:v>15.82</c:v>
                </c:pt>
                <c:pt idx="13">
                  <c:v>13.58</c:v>
                </c:pt>
              </c:numCache>
            </c:numRef>
          </c:yVal>
          <c:smooth val="0"/>
        </c:ser>
        <c:axId val="87246707"/>
        <c:axId val="59552900"/>
      </c:scatterChart>
      <c:valAx>
        <c:axId val="8724670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Interferer frequency (MHz)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552900"/>
        <c:crosses val="autoZero"/>
        <c:crossBetween val="midCat"/>
      </c:valAx>
      <c:valAx>
        <c:axId val="59552900"/>
        <c:scaling>
          <c:orientation val="minMax"/>
          <c:max val="32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Cancellation depth (dB)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24670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Wanted-signal loss across the band (limit 0.5 dB)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T1_BandSweep!I9</c:f>
              <c:strCache>
                <c:ptCount val="1"/>
                <c:pt idx="0">
                  <c:v>Wanted loss (dB)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triangle"/>
            <c:size val="6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T1_BandSweep!$B$10:$B$23</c:f>
              <c:numCache>
                <c:formatCode>0.000</c:formatCode>
                <c:ptCount val="14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57</c:v>
                </c:pt>
                <c:pt idx="7">
                  <c:v>60</c:v>
                </c:pt>
                <c:pt idx="8">
                  <c:v>65</c:v>
                </c:pt>
                <c:pt idx="9">
                  <c:v>70</c:v>
                </c:pt>
                <c:pt idx="10">
                  <c:v>75</c:v>
                </c:pt>
                <c:pt idx="11">
                  <c:v>80</c:v>
                </c:pt>
                <c:pt idx="12">
                  <c:v>85</c:v>
                </c:pt>
                <c:pt idx="13">
                  <c:v>88</c:v>
                </c:pt>
              </c:numCache>
            </c:numRef>
          </c:xVal>
          <c:yVal>
            <c:numRef>
              <c:f>T1_BandSweep!$I$10:$I$23</c:f>
              <c:numCache>
                <c:formatCode>0.00</c:formatCode>
                <c:ptCount val="14"/>
                <c:pt idx="1">
                  <c:v>1</c:v>
                </c:pt>
                <c:pt idx="2">
                  <c:v>0.5</c:v>
                </c:pt>
                <c:pt idx="3">
                  <c:v>-0.5</c:v>
                </c:pt>
                <c:pt idx="4">
                  <c:v>-2</c:v>
                </c:pt>
                <c:pt idx="5">
                  <c:v>-2.6</c:v>
                </c:pt>
                <c:pt idx="6">
                  <c:v>-2.5</c:v>
                </c:pt>
                <c:pt idx="7">
                  <c:v>-2.1</c:v>
                </c:pt>
                <c:pt idx="8">
                  <c:v>-1</c:v>
                </c:pt>
                <c:pt idx="9">
                  <c:v>-0.210000000000001</c:v>
                </c:pt>
                <c:pt idx="10">
                  <c:v>0.600000000000001</c:v>
                </c:pt>
                <c:pt idx="11">
                  <c:v>1.1</c:v>
                </c:pt>
                <c:pt idx="12">
                  <c:v>1.5</c:v>
                </c:pt>
                <c:pt idx="13">
                  <c:v>1.69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T1_BandSweep!T9</c:f>
              <c:strCache>
                <c:ptCount val="1"/>
                <c:pt idx="0">
                  <c:v>limit 0.5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T1_BandSweep!$B$10:$B$23</c:f>
              <c:numCache>
                <c:formatCode>0.000</c:formatCode>
                <c:ptCount val="14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57</c:v>
                </c:pt>
                <c:pt idx="7">
                  <c:v>60</c:v>
                </c:pt>
                <c:pt idx="8">
                  <c:v>65</c:v>
                </c:pt>
                <c:pt idx="9">
                  <c:v>70</c:v>
                </c:pt>
                <c:pt idx="10">
                  <c:v>75</c:v>
                </c:pt>
                <c:pt idx="11">
                  <c:v>80</c:v>
                </c:pt>
                <c:pt idx="12">
                  <c:v>85</c:v>
                </c:pt>
                <c:pt idx="13">
                  <c:v>88</c:v>
                </c:pt>
              </c:numCache>
            </c:numRef>
          </c:xVal>
          <c:yVal>
            <c:numRef>
              <c:f>T1_BandSweep!$T$10:$T$23</c:f>
              <c:numCache>
                <c:formatCode>General</c:formatCode>
                <c:ptCount val="14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T1_BandSweep!U9</c:f>
              <c:strCache>
                <c:ptCount val="1"/>
                <c:pt idx="0">
                  <c:v>zero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T1_BandSweep!$B$10:$B$23</c:f>
              <c:numCache>
                <c:formatCode>0.000</c:formatCode>
                <c:ptCount val="14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57</c:v>
                </c:pt>
                <c:pt idx="7">
                  <c:v>60</c:v>
                </c:pt>
                <c:pt idx="8">
                  <c:v>65</c:v>
                </c:pt>
                <c:pt idx="9">
                  <c:v>70</c:v>
                </c:pt>
                <c:pt idx="10">
                  <c:v>75</c:v>
                </c:pt>
                <c:pt idx="11">
                  <c:v>80</c:v>
                </c:pt>
                <c:pt idx="12">
                  <c:v>85</c:v>
                </c:pt>
                <c:pt idx="13">
                  <c:v>88</c:v>
                </c:pt>
              </c:numCache>
            </c:numRef>
          </c:xVal>
          <c:yVal>
            <c:numRef>
              <c:f>T1_BandSweep!$U$10:$U$23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</c:ser>
        <c:axId val="10968598"/>
        <c:axId val="74179720"/>
      </c:scatterChart>
      <c:valAx>
        <c:axId val="109685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Interferer frequency (MHz)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179720"/>
        <c:crosses val="autoZero"/>
        <c:crossBetween val="midCat"/>
      </c:valAx>
      <c:valAx>
        <c:axId val="74179720"/>
        <c:scaling>
          <c:orientation val="minMax"/>
          <c:max val="2.5"/>
          <c:min val="-3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Wanted-signal loss (dB)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96859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Wanted-signal loss vs separation (limit 0.5 dB)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T2_Separation!G7</c:f>
              <c:strCache>
                <c:ptCount val="1"/>
                <c:pt idx="0">
                  <c:v>Wanted loss (dB)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circle"/>
            <c:size val="6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T2_Separation!$D$8:$D$16</c:f>
              <c:numCache>
                <c:formatCode>0.000</c:formatCode>
                <c:ptCount val="9"/>
                <c:pt idx="0">
                  <c:v>20</c:v>
                </c:pt>
                <c:pt idx="1">
                  <c:v>10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0.5</c:v>
                </c:pt>
                <c:pt idx="6">
                  <c:v>0.200000000000003</c:v>
                </c:pt>
                <c:pt idx="7">
                  <c:v>0.100000000000001</c:v>
                </c:pt>
                <c:pt idx="8">
                  <c:v>0.0499999999999972</c:v>
                </c:pt>
              </c:numCache>
            </c:numRef>
          </c:xVal>
          <c:yVal>
            <c:numRef>
              <c:f>T2_Separation!$G$8:$G$16</c:f>
              <c:numCache>
                <c:formatCode>0.00</c:formatCode>
                <c:ptCount val="9"/>
                <c:pt idx="0">
                  <c:v>-0.189999999999998</c:v>
                </c:pt>
                <c:pt idx="1">
                  <c:v>-0.479999999999997</c:v>
                </c:pt>
                <c:pt idx="2">
                  <c:v>-0.280000000000001</c:v>
                </c:pt>
                <c:pt idx="3">
                  <c:v>-0.399999999999999</c:v>
                </c:pt>
                <c:pt idx="4">
                  <c:v>-0.5</c:v>
                </c:pt>
                <c:pt idx="5">
                  <c:v>-0.299999999999997</c:v>
                </c:pt>
                <c:pt idx="6">
                  <c:v>-0.390000000000001</c:v>
                </c:pt>
                <c:pt idx="7">
                  <c:v>-0.399999999999999</c:v>
                </c:pt>
                <c:pt idx="8">
                  <c:v>-0.410000000000004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T2_Separation!T7</c:f>
              <c:strCache>
                <c:ptCount val="1"/>
                <c:pt idx="0">
                  <c:v>limit 0.5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T2_Separation!$D$8:$D$16</c:f>
              <c:numCache>
                <c:formatCode>0.000</c:formatCode>
                <c:ptCount val="9"/>
                <c:pt idx="0">
                  <c:v>20</c:v>
                </c:pt>
                <c:pt idx="1">
                  <c:v>10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0.5</c:v>
                </c:pt>
                <c:pt idx="6">
                  <c:v>0.200000000000003</c:v>
                </c:pt>
                <c:pt idx="7">
                  <c:v>0.100000000000001</c:v>
                </c:pt>
                <c:pt idx="8">
                  <c:v>0.0499999999999972</c:v>
                </c:pt>
              </c:numCache>
            </c:numRef>
          </c:xVal>
          <c:yVal>
            <c:numRef>
              <c:f>T2_Separation!$T$8:$T$16</c:f>
              <c:numCache>
                <c:formatCode>General</c:formatCode>
                <c:ptCount val="9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T2_Separation!U7</c:f>
              <c:strCache>
                <c:ptCount val="1"/>
                <c:pt idx="0">
                  <c:v>zero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T2_Separation!$D$8:$D$16</c:f>
              <c:numCache>
                <c:formatCode>0.000</c:formatCode>
                <c:ptCount val="9"/>
                <c:pt idx="0">
                  <c:v>20</c:v>
                </c:pt>
                <c:pt idx="1">
                  <c:v>10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0.5</c:v>
                </c:pt>
                <c:pt idx="6">
                  <c:v>0.200000000000003</c:v>
                </c:pt>
                <c:pt idx="7">
                  <c:v>0.100000000000001</c:v>
                </c:pt>
                <c:pt idx="8">
                  <c:v>0.0499999999999972</c:v>
                </c:pt>
              </c:numCache>
            </c:numRef>
          </c:xVal>
          <c:yVal>
            <c:numRef>
              <c:f>T2_Separation!$U$8:$U$16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</c:ser>
        <c:axId val="89238005"/>
        <c:axId val="8424516"/>
      </c:scatterChart>
      <c:valAx>
        <c:axId val="892380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Separation df (MHz)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24516"/>
        <c:crosses val="autoZero"/>
        <c:crossBetween val="midCat"/>
      </c:valAx>
      <c:valAx>
        <c:axId val="8424516"/>
        <c:scaling>
          <c:orientation val="minMax"/>
          <c:max val="0.8"/>
          <c:min val="-0.8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Wanted-signal loss (dB)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238005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Interferer cancellation vs separation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T2_Separation!J7</c:f>
              <c:strCache>
                <c:ptCount val="1"/>
                <c:pt idx="0">
                  <c:v>Interf depth (dB)</c:v>
                </c:pt>
              </c:strCache>
            </c:strRef>
          </c:tx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triangle"/>
            <c:size val="6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T2_Separation!$D$8:$D$16</c:f>
              <c:numCache>
                <c:formatCode>0.000</c:formatCode>
                <c:ptCount val="9"/>
                <c:pt idx="0">
                  <c:v>20</c:v>
                </c:pt>
                <c:pt idx="1">
                  <c:v>10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0.5</c:v>
                </c:pt>
                <c:pt idx="6">
                  <c:v>0.200000000000003</c:v>
                </c:pt>
                <c:pt idx="7">
                  <c:v>0.100000000000001</c:v>
                </c:pt>
                <c:pt idx="8">
                  <c:v>0.0499999999999972</c:v>
                </c:pt>
              </c:numCache>
            </c:numRef>
          </c:xVal>
          <c:yVal>
            <c:numRef>
              <c:f>T2_Separation!$J$8:$J$16</c:f>
              <c:numCache>
                <c:formatCode>0.0</c:formatCode>
                <c:ptCount val="9"/>
                <c:pt idx="0">
                  <c:v>21.4</c:v>
                </c:pt>
                <c:pt idx="1">
                  <c:v>20.5</c:v>
                </c:pt>
                <c:pt idx="2">
                  <c:v>22.87</c:v>
                </c:pt>
                <c:pt idx="3">
                  <c:v>22.14</c:v>
                </c:pt>
                <c:pt idx="4">
                  <c:v>20.1</c:v>
                </c:pt>
                <c:pt idx="5">
                  <c:v>20.36</c:v>
                </c:pt>
                <c:pt idx="6">
                  <c:v>23.4</c:v>
                </c:pt>
                <c:pt idx="7">
                  <c:v>30.87</c:v>
                </c:pt>
                <c:pt idx="8">
                  <c:v>25.6</c:v>
                </c:pt>
              </c:numCache>
            </c:numRef>
          </c:yVal>
          <c:smooth val="0"/>
        </c:ser>
        <c:axId val="49685026"/>
        <c:axId val="74048730"/>
      </c:scatterChart>
      <c:valAx>
        <c:axId val="496850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Separation df (MHz)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low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048730"/>
        <c:crosses val="autoZero"/>
        <c:crossBetween val="midCat"/>
      </c:valAx>
      <c:valAx>
        <c:axId val="74048730"/>
        <c:scaling>
          <c:orientation val="minMax"/>
          <c:max val="35"/>
          <c:min val="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Interferer depth (dB)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68502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800" spc="-1" strike="noStrike">
                <a:solidFill>
                  <a:srgbClr val="000000"/>
                </a:solidFill>
                <a:latin typeface="Calibri"/>
              </a:rPr>
              <a:t>Convergence: cancellation depth vs time</a:t>
            </a:r>
          </a:p>
        </c:rich>
      </c:tx>
      <c:layout>
        <c:manualLayout>
          <c:xMode val="edge"/>
          <c:yMode val="edge"/>
          <c:x val="0.0931297709923664"/>
          <c:y val="0.0247074122236671"/>
        </c:manualLayout>
      </c:layout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T3_RawCSV!$D$5</c:f>
              <c:strCache>
                <c:ptCount val="1"/>
                <c:pt idx="0">
                  <c:v>depth_dB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T3_RawCSV!$B$6:$B$45</c:f>
              <c:numCache>
                <c:formatCode>General</c:formatCode>
                <c:ptCount val="4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</c:numCache>
            </c:numRef>
          </c:xVal>
          <c:yVal>
            <c:numRef>
              <c:f>T3_RawCSV!$D$6:$D$45</c:f>
              <c:numCache>
                <c:formatCode>General</c:formatCode>
                <c:ptCount val="40"/>
                <c:pt idx="0">
                  <c:v>-0.2</c:v>
                </c:pt>
                <c:pt idx="1">
                  <c:v>17.22</c:v>
                </c:pt>
                <c:pt idx="2">
                  <c:v>18.91</c:v>
                </c:pt>
                <c:pt idx="3">
                  <c:v>18.7</c:v>
                </c:pt>
                <c:pt idx="4">
                  <c:v>19.26</c:v>
                </c:pt>
                <c:pt idx="5">
                  <c:v>20.38</c:v>
                </c:pt>
                <c:pt idx="6">
                  <c:v>21.05</c:v>
                </c:pt>
                <c:pt idx="7">
                  <c:v>21.21</c:v>
                </c:pt>
                <c:pt idx="8">
                  <c:v>20.95</c:v>
                </c:pt>
                <c:pt idx="9">
                  <c:v>21.01</c:v>
                </c:pt>
                <c:pt idx="10">
                  <c:v>20.86</c:v>
                </c:pt>
                <c:pt idx="11">
                  <c:v>21.01</c:v>
                </c:pt>
                <c:pt idx="12">
                  <c:v>20.98</c:v>
                </c:pt>
                <c:pt idx="13">
                  <c:v>21.05</c:v>
                </c:pt>
                <c:pt idx="14">
                  <c:v>20.71</c:v>
                </c:pt>
                <c:pt idx="15">
                  <c:v>20.91</c:v>
                </c:pt>
                <c:pt idx="16">
                  <c:v>20.98</c:v>
                </c:pt>
                <c:pt idx="17">
                  <c:v>21.05</c:v>
                </c:pt>
                <c:pt idx="18">
                  <c:v>20.73</c:v>
                </c:pt>
                <c:pt idx="19">
                  <c:v>21.05</c:v>
                </c:pt>
                <c:pt idx="20">
                  <c:v>20.88</c:v>
                </c:pt>
                <c:pt idx="21">
                  <c:v>20.9</c:v>
                </c:pt>
                <c:pt idx="22">
                  <c:v>20.91</c:v>
                </c:pt>
                <c:pt idx="23">
                  <c:v>20.91</c:v>
                </c:pt>
                <c:pt idx="24">
                  <c:v>20.63</c:v>
                </c:pt>
                <c:pt idx="25">
                  <c:v>20.96</c:v>
                </c:pt>
                <c:pt idx="26">
                  <c:v>20.81</c:v>
                </c:pt>
                <c:pt idx="27">
                  <c:v>20.96</c:v>
                </c:pt>
                <c:pt idx="28">
                  <c:v>20.89</c:v>
                </c:pt>
                <c:pt idx="29">
                  <c:v>20.7</c:v>
                </c:pt>
                <c:pt idx="30">
                  <c:v>20.84</c:v>
                </c:pt>
                <c:pt idx="31">
                  <c:v>20.85</c:v>
                </c:pt>
                <c:pt idx="32">
                  <c:v>20.71</c:v>
                </c:pt>
                <c:pt idx="33">
                  <c:v>20.5</c:v>
                </c:pt>
                <c:pt idx="34">
                  <c:v>20.6</c:v>
                </c:pt>
                <c:pt idx="35">
                  <c:v>20.73</c:v>
                </c:pt>
                <c:pt idx="36">
                  <c:v>20.71</c:v>
                </c:pt>
                <c:pt idx="37">
                  <c:v>20.62</c:v>
                </c:pt>
                <c:pt idx="38">
                  <c:v>20.83</c:v>
                </c:pt>
                <c:pt idx="39">
                  <c:v>20.59</c:v>
                </c:pt>
              </c:numCache>
            </c:numRef>
          </c:yVal>
          <c:smooth val="1"/>
        </c:ser>
        <c:axId val="92844393"/>
        <c:axId val="79837295"/>
      </c:scatterChart>
      <c:valAx>
        <c:axId val="92844393"/>
        <c:scaling>
          <c:orientation val="minMax"/>
          <c:max val="15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time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837295"/>
        <c:crosses val="autoZero"/>
        <c:crossBetween val="midCat"/>
      </c:valAx>
      <c:valAx>
        <c:axId val="798372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US" sz="1000" spc="-1" strike="noStrike">
                    <a:solidFill>
                      <a:srgbClr val="000000"/>
                    </a:solidFill>
                    <a:latin typeface="Calibri"/>
                  </a:rPr>
                  <a:t>depth (dB)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844393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13947083109743"/>
          <c:y val="0.332192732385287"/>
          <c:w val="0.140187804136253"/>
          <c:h val="0.063810579664238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8</xdr:row>
      <xdr:rowOff>0</xdr:rowOff>
    </xdr:from>
    <xdr:to>
      <xdr:col>24</xdr:col>
      <xdr:colOff>11160</xdr:colOff>
      <xdr:row>26</xdr:row>
      <xdr:rowOff>360</xdr:rowOff>
    </xdr:to>
    <xdr:graphicFrame>
      <xdr:nvGraphicFramePr>
        <xdr:cNvPr id="0" name="Chart 1"/>
        <xdr:cNvGraphicFramePr/>
      </xdr:nvGraphicFramePr>
      <xdr:xfrm>
        <a:off x="12804840" y="1486080"/>
        <a:ext cx="61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27</xdr:row>
      <xdr:rowOff>0</xdr:rowOff>
    </xdr:from>
    <xdr:to>
      <xdr:col>24</xdr:col>
      <xdr:colOff>11160</xdr:colOff>
      <xdr:row>45</xdr:row>
      <xdr:rowOff>162000</xdr:rowOff>
    </xdr:to>
    <xdr:graphicFrame>
      <xdr:nvGraphicFramePr>
        <xdr:cNvPr id="1" name="Chart 2"/>
        <xdr:cNvGraphicFramePr/>
      </xdr:nvGraphicFramePr>
      <xdr:xfrm>
        <a:off x="12804840" y="5086440"/>
        <a:ext cx="61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6</xdr:row>
      <xdr:rowOff>0</xdr:rowOff>
    </xdr:from>
    <xdr:to>
      <xdr:col>22</xdr:col>
      <xdr:colOff>10800</xdr:colOff>
      <xdr:row>23</xdr:row>
      <xdr:rowOff>57240</xdr:rowOff>
    </xdr:to>
    <xdr:graphicFrame>
      <xdr:nvGraphicFramePr>
        <xdr:cNvPr id="2" name="Chart 1"/>
        <xdr:cNvGraphicFramePr/>
      </xdr:nvGraphicFramePr>
      <xdr:xfrm>
        <a:off x="11676960" y="1152360"/>
        <a:ext cx="61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0</xdr:colOff>
      <xdr:row>25</xdr:row>
      <xdr:rowOff>0</xdr:rowOff>
    </xdr:from>
    <xdr:to>
      <xdr:col>22</xdr:col>
      <xdr:colOff>10800</xdr:colOff>
      <xdr:row>43</xdr:row>
      <xdr:rowOff>143280</xdr:rowOff>
    </xdr:to>
    <xdr:graphicFrame>
      <xdr:nvGraphicFramePr>
        <xdr:cNvPr id="3" name="Chart 2"/>
        <xdr:cNvGraphicFramePr/>
      </xdr:nvGraphicFramePr>
      <xdr:xfrm>
        <a:off x="11676960" y="4896000"/>
        <a:ext cx="611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176040</xdr:rowOff>
    </xdr:from>
    <xdr:to>
      <xdr:col>9</xdr:col>
      <xdr:colOff>68400</xdr:colOff>
      <xdr:row>23</xdr:row>
      <xdr:rowOff>155160</xdr:rowOff>
    </xdr:to>
    <xdr:graphicFrame>
      <xdr:nvGraphicFramePr>
        <xdr:cNvPr id="4" name="Chart 1"/>
        <xdr:cNvGraphicFramePr/>
      </xdr:nvGraphicFramePr>
      <xdr:xfrm>
        <a:off x="3242160" y="928440"/>
        <a:ext cx="6130440" cy="35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6"/>
    <col collapsed="false" customWidth="true" hidden="false" outlineLevel="0" max="3" min="3" style="0" width="34"/>
  </cols>
  <sheetData>
    <row r="2" customFormat="false" ht="19.5" hidden="false" customHeight="true" outlineLevel="0" collapsed="false">
      <c r="B2" s="1" t="s">
        <v>0</v>
      </c>
    </row>
    <row r="3" customFormat="false" ht="15" hidden="false" customHeight="true" outlineLevel="0" collapsed="false">
      <c r="B3" s="2" t="s">
        <v>1</v>
      </c>
    </row>
    <row r="5" customFormat="false" ht="15" hidden="false" customHeight="true" outlineLevel="0" collapsed="false">
      <c r="B5" s="3"/>
      <c r="C5" s="3"/>
    </row>
    <row r="6" customFormat="false" ht="15" hidden="false" customHeight="true" outlineLevel="0" collapsed="false">
      <c r="B6" s="4" t="s">
        <v>2</v>
      </c>
      <c r="C6" s="5"/>
    </row>
    <row r="7" customFormat="false" ht="15" hidden="false" customHeight="true" outlineLevel="0" collapsed="false">
      <c r="B7" s="3" t="s">
        <v>3</v>
      </c>
      <c r="C7" s="3" t="s">
        <v>4</v>
      </c>
    </row>
    <row r="8" customFormat="false" ht="15" hidden="false" customHeight="true" outlineLevel="0" collapsed="false">
      <c r="B8" s="3" t="s">
        <v>5</v>
      </c>
      <c r="C8" s="3" t="s">
        <v>6</v>
      </c>
    </row>
    <row r="9" customFormat="false" ht="15" hidden="false" customHeight="true" outlineLevel="0" collapsed="false">
      <c r="B9" s="3" t="s">
        <v>7</v>
      </c>
      <c r="C9" s="3"/>
    </row>
    <row r="10" customFormat="false" ht="15" hidden="false" customHeight="true" outlineLevel="0" collapsed="false">
      <c r="B10" s="3" t="s">
        <v>8</v>
      </c>
      <c r="C10" s="3" t="s">
        <v>9</v>
      </c>
    </row>
    <row r="11" customFormat="false" ht="15" hidden="false" customHeight="true" outlineLevel="0" collapsed="false">
      <c r="B11" s="3"/>
      <c r="C11" s="3"/>
    </row>
    <row r="12" customFormat="false" ht="15" hidden="false" customHeight="true" outlineLevel="0" collapsed="false">
      <c r="B12" s="4" t="s">
        <v>10</v>
      </c>
      <c r="C12" s="5"/>
    </row>
    <row r="13" customFormat="false" ht="15" hidden="false" customHeight="true" outlineLevel="0" collapsed="false">
      <c r="B13" s="3" t="s">
        <v>11</v>
      </c>
      <c r="C13" s="3"/>
    </row>
    <row r="14" customFormat="false" ht="15" hidden="false" customHeight="true" outlineLevel="0" collapsed="false">
      <c r="B14" s="3" t="s">
        <v>12</v>
      </c>
      <c r="C14" s="3"/>
    </row>
    <row r="15" customFormat="false" ht="15" hidden="false" customHeight="true" outlineLevel="0" collapsed="false">
      <c r="B15" s="3"/>
      <c r="C15" s="3"/>
    </row>
    <row r="16" customFormat="false" ht="15" hidden="false" customHeight="true" outlineLevel="0" collapsed="false">
      <c r="B16" s="4" t="s">
        <v>13</v>
      </c>
      <c r="C16" s="5"/>
    </row>
    <row r="17" customFormat="false" ht="15" hidden="false" customHeight="true" outlineLevel="0" collapsed="false">
      <c r="B17" s="3" t="s">
        <v>14</v>
      </c>
      <c r="C17" s="3"/>
    </row>
    <row r="18" customFormat="false" ht="15" hidden="false" customHeight="true" outlineLevel="0" collapsed="false">
      <c r="B18" s="3" t="s">
        <v>15</v>
      </c>
      <c r="C18" s="3"/>
    </row>
    <row r="19" customFormat="false" ht="15" hidden="false" customHeight="true" outlineLevel="0" collapsed="false">
      <c r="B19" s="3" t="s">
        <v>16</v>
      </c>
      <c r="C19" s="3"/>
    </row>
    <row r="20" customFormat="false" ht="15" hidden="false" customHeight="true" outlineLevel="0" collapsed="false">
      <c r="B20" s="3" t="s">
        <v>17</v>
      </c>
      <c r="C20" s="3"/>
    </row>
    <row r="21" customFormat="false" ht="15" hidden="false" customHeight="true" outlineLevel="0" collapsed="false">
      <c r="B21" s="3"/>
      <c r="C21" s="3"/>
    </row>
    <row r="22" customFormat="false" ht="15" hidden="false" customHeight="true" outlineLevel="0" collapsed="false">
      <c r="B22" s="4" t="s">
        <v>18</v>
      </c>
      <c r="C22" s="5"/>
    </row>
    <row r="23" customFormat="false" ht="15" hidden="false" customHeight="true" outlineLevel="0" collapsed="false">
      <c r="B23" s="3" t="s">
        <v>19</v>
      </c>
      <c r="C23" s="3"/>
    </row>
    <row r="24" customFormat="false" ht="15" hidden="false" customHeight="true" outlineLevel="0" collapsed="false">
      <c r="B24" s="3" t="s">
        <v>20</v>
      </c>
      <c r="C24" s="3"/>
    </row>
    <row r="25" customFormat="false" ht="15" hidden="false" customHeight="true" outlineLevel="0" collapsed="false">
      <c r="B25" s="3" t="s">
        <v>21</v>
      </c>
      <c r="C25" s="3"/>
    </row>
    <row r="26" customFormat="false" ht="15" hidden="false" customHeight="true" outlineLevel="0" collapsed="false">
      <c r="B26" s="3" t="s">
        <v>22</v>
      </c>
      <c r="C26" s="3"/>
    </row>
    <row r="27" customFormat="false" ht="15" hidden="false" customHeight="true" outlineLevel="0" collapsed="false">
      <c r="B27" s="3" t="s">
        <v>23</v>
      </c>
      <c r="C27" s="3"/>
    </row>
    <row r="28" customFormat="false" ht="15" hidden="false" customHeight="true" outlineLevel="0" collapsed="false">
      <c r="B28" s="3"/>
      <c r="C28" s="3"/>
    </row>
    <row r="29" customFormat="false" ht="15" hidden="false" customHeight="true" outlineLevel="0" collapsed="false">
      <c r="B29" s="4" t="s">
        <v>24</v>
      </c>
      <c r="C29" s="5"/>
    </row>
    <row r="30" customFormat="false" ht="15" hidden="false" customHeight="true" outlineLevel="0" collapsed="false">
      <c r="B30" s="3" t="s">
        <v>25</v>
      </c>
      <c r="C30" s="6" t="n">
        <v>21.09</v>
      </c>
      <c r="D30" s="7" t="s">
        <v>26</v>
      </c>
    </row>
    <row r="31" customFormat="false" ht="15" hidden="false" customHeight="true" outlineLevel="0" collapsed="false">
      <c r="B31" s="3" t="s">
        <v>27</v>
      </c>
      <c r="C31" s="6" t="n">
        <v>0.032227</v>
      </c>
      <c r="D31" s="7" t="s">
        <v>28</v>
      </c>
    </row>
    <row r="32" customFormat="false" ht="15" hidden="false" customHeight="true" outlineLevel="0" collapsed="false">
      <c r="B32" s="3" t="s">
        <v>29</v>
      </c>
      <c r="C32" s="6" t="n">
        <v>0.0333</v>
      </c>
      <c r="D32" s="7" t="s">
        <v>30</v>
      </c>
    </row>
    <row r="33" customFormat="false" ht="15" hidden="false" customHeight="true" outlineLevel="0" collapsed="false">
      <c r="B33" s="3" t="s">
        <v>31</v>
      </c>
      <c r="C33" s="6" t="n">
        <v>10</v>
      </c>
      <c r="D33" s="7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U30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B18" activeCellId="0" sqref="B18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13"/>
    <col collapsed="false" customWidth="true" hidden="false" outlineLevel="0" max="5" min="4" style="0" width="15"/>
    <col collapsed="false" customWidth="true" hidden="false" outlineLevel="0" max="6" min="6" style="0" width="13"/>
    <col collapsed="false" customWidth="true" hidden="false" outlineLevel="0" max="8" min="7" style="0" width="15"/>
    <col collapsed="false" customWidth="true" hidden="false" outlineLevel="0" max="9" min="9" style="0" width="13"/>
    <col collapsed="false" customWidth="true" hidden="false" outlineLevel="0" max="12" min="10" style="0" width="11"/>
    <col collapsed="false" customWidth="true" hidden="false" outlineLevel="0" max="13" min="13" style="0" width="24"/>
  </cols>
  <sheetData>
    <row r="2" customFormat="false" ht="17.25" hidden="false" customHeight="true" outlineLevel="0" collapsed="false">
      <c r="B2" s="8" t="s">
        <v>33</v>
      </c>
    </row>
    <row r="3" customFormat="false" ht="14.25" hidden="false" customHeight="false" outlineLevel="0" collapsed="false">
      <c r="B3" s="7" t="s">
        <v>34</v>
      </c>
    </row>
    <row r="4" customFormat="false" ht="14.25" hidden="false" customHeight="false" outlineLevel="0" collapsed="false">
      <c r="B4" s="7" t="s">
        <v>35</v>
      </c>
    </row>
    <row r="5" customFormat="false" ht="14.25" hidden="false" customHeight="false" outlineLevel="0" collapsed="false">
      <c r="B5" s="7" t="s">
        <v>36</v>
      </c>
    </row>
    <row r="7" customFormat="false" ht="14.25" hidden="false" customHeight="false" outlineLevel="0" collapsed="false">
      <c r="B7" s="9" t="s">
        <v>37</v>
      </c>
      <c r="F7" s="10" t="n">
        <v>-2</v>
      </c>
      <c r="G7" s="7" t="s">
        <v>38</v>
      </c>
    </row>
    <row r="9" customFormat="false" ht="27" hidden="false" customHeight="true" outlineLevel="0" collapsed="false">
      <c r="A9" s="11"/>
      <c r="B9" s="11" t="s">
        <v>39</v>
      </c>
      <c r="C9" s="11" t="s">
        <v>40</v>
      </c>
      <c r="D9" s="11" t="s">
        <v>41</v>
      </c>
      <c r="E9" s="11" t="s">
        <v>42</v>
      </c>
      <c r="F9" s="11" t="s">
        <v>43</v>
      </c>
      <c r="G9" s="11" t="s">
        <v>44</v>
      </c>
      <c r="H9" s="11" t="s">
        <v>45</v>
      </c>
      <c r="I9" s="11" t="s">
        <v>46</v>
      </c>
      <c r="J9" s="11" t="s">
        <v>47</v>
      </c>
      <c r="K9" s="11" t="s">
        <v>48</v>
      </c>
      <c r="L9" s="11" t="s">
        <v>49</v>
      </c>
      <c r="M9" s="11" t="s">
        <v>50</v>
      </c>
      <c r="T9" s="12" t="s">
        <v>51</v>
      </c>
      <c r="U9" s="12" t="s">
        <v>52</v>
      </c>
    </row>
    <row r="10" customFormat="false" ht="14.25" hidden="false" customHeight="false" outlineLevel="0" collapsed="false">
      <c r="B10" s="10" t="n">
        <v>30</v>
      </c>
      <c r="C10" s="13" t="n">
        <f aca="false">IF(ISNUMBER(B10),B10+$F$7,"")</f>
        <v>28</v>
      </c>
      <c r="D10" s="14"/>
      <c r="E10" s="14"/>
      <c r="F10" s="15" t="str">
        <f aca="false">IF(AND(ISNUMBER(D10),ISNUMBER(E10)),D10-E10,"")</f>
        <v/>
      </c>
      <c r="G10" s="14"/>
      <c r="H10" s="14"/>
      <c r="I10" s="16" t="str">
        <f aca="false">IF(AND(ISNUMBER(G10),ISNUMBER(H10)),G10-H10,"")</f>
        <v/>
      </c>
      <c r="J10" s="17" t="str">
        <f aca="false">IF(ISNUMBER(I10),IF(I10&lt;=0.5,"PASS","FAIL"),"")</f>
        <v/>
      </c>
      <c r="K10" s="10"/>
      <c r="L10" s="10"/>
      <c r="M10" s="18"/>
      <c r="T10" s="3" t="n">
        <v>0.5</v>
      </c>
      <c r="U10" s="3" t="n">
        <v>0</v>
      </c>
    </row>
    <row r="11" customFormat="false" ht="14.25" hidden="false" customHeight="false" outlineLevel="0" collapsed="false">
      <c r="B11" s="10" t="n">
        <v>35</v>
      </c>
      <c r="C11" s="13" t="n">
        <f aca="false">IF(ISNUMBER(B11),B11+$F$7,"")</f>
        <v>33</v>
      </c>
      <c r="D11" s="14" t="n">
        <v>-20.36</v>
      </c>
      <c r="E11" s="14" t="n">
        <v>-47.17</v>
      </c>
      <c r="F11" s="15" t="n">
        <f aca="false">IF(AND(ISNUMBER(D11),ISNUMBER(E11)),D11-E11,"")</f>
        <v>26.81</v>
      </c>
      <c r="G11" s="14" t="n">
        <v>-55</v>
      </c>
      <c r="H11" s="14" t="n">
        <v>-56</v>
      </c>
      <c r="I11" s="16" t="n">
        <f aca="false">IF(AND(ISNUMBER(G11),ISNUMBER(H11)),G11-H11,"")</f>
        <v>1</v>
      </c>
      <c r="J11" s="17" t="str">
        <f aca="false">IF(ISNUMBER(I11),IF(I11&lt;=0.5,"PASS","FAIL"),"")</f>
        <v>FAIL</v>
      </c>
      <c r="K11" s="10"/>
      <c r="L11" s="10"/>
      <c r="M11" s="18"/>
      <c r="T11" s="3" t="n">
        <v>0.5</v>
      </c>
      <c r="U11" s="3" t="n">
        <v>0</v>
      </c>
    </row>
    <row r="12" customFormat="false" ht="14.25" hidden="false" customHeight="false" outlineLevel="0" collapsed="false">
      <c r="B12" s="10" t="n">
        <v>40</v>
      </c>
      <c r="C12" s="13" t="n">
        <f aca="false">IF(ISNUMBER(B12),B12+$F$7,"")</f>
        <v>38</v>
      </c>
      <c r="D12" s="14" t="n">
        <v>-20.11</v>
      </c>
      <c r="E12" s="14" t="n">
        <v>-47</v>
      </c>
      <c r="F12" s="15" t="n">
        <f aca="false">IF(AND(ISNUMBER(D12),ISNUMBER(E12)),D12-E12,"")</f>
        <v>26.89</v>
      </c>
      <c r="G12" s="14" t="n">
        <v>-55.8</v>
      </c>
      <c r="H12" s="14" t="n">
        <v>-56.3</v>
      </c>
      <c r="I12" s="16" t="n">
        <f aca="false">IF(AND(ISNUMBER(G12),ISNUMBER(H12)),G12-H12,"")</f>
        <v>0.5</v>
      </c>
      <c r="J12" s="17" t="str">
        <f aca="false">IF(ISNUMBER(I12),IF(I12&lt;=0.5,"PASS","FAIL"),"")</f>
        <v>PASS</v>
      </c>
      <c r="K12" s="10"/>
      <c r="L12" s="10"/>
      <c r="M12" s="18"/>
      <c r="T12" s="3" t="n">
        <v>0.5</v>
      </c>
      <c r="U12" s="3" t="n">
        <v>0</v>
      </c>
    </row>
    <row r="13" customFormat="false" ht="14.25" hidden="false" customHeight="false" outlineLevel="0" collapsed="false">
      <c r="B13" s="10" t="n">
        <v>45</v>
      </c>
      <c r="C13" s="13" t="n">
        <f aca="false">IF(ISNUMBER(B13),B13+$F$7,"")</f>
        <v>43</v>
      </c>
      <c r="D13" s="14" t="n">
        <v>-20.11</v>
      </c>
      <c r="E13" s="14" t="n">
        <v>-46.7</v>
      </c>
      <c r="F13" s="15" t="n">
        <f aca="false">IF(AND(ISNUMBER(D13),ISNUMBER(E13)),D13-E13,"")</f>
        <v>26.59</v>
      </c>
      <c r="G13" s="14" t="n">
        <v>-57</v>
      </c>
      <c r="H13" s="14" t="n">
        <v>-56.5</v>
      </c>
      <c r="I13" s="16" t="n">
        <f aca="false">IF(AND(ISNUMBER(G13),ISNUMBER(H13)),G13-H13,"")</f>
        <v>-0.5</v>
      </c>
      <c r="J13" s="17" t="str">
        <f aca="false">IF(ISNUMBER(I13),IF(I13&lt;=0.5,"PASS","FAIL"),"")</f>
        <v>PASS</v>
      </c>
      <c r="K13" s="10"/>
      <c r="L13" s="10"/>
      <c r="M13" s="18"/>
      <c r="T13" s="3" t="n">
        <v>0.5</v>
      </c>
      <c r="U13" s="3" t="n">
        <v>0</v>
      </c>
    </row>
    <row r="14" customFormat="false" ht="14.25" hidden="false" customHeight="false" outlineLevel="0" collapsed="false">
      <c r="B14" s="10" t="n">
        <v>50</v>
      </c>
      <c r="C14" s="13" t="n">
        <f aca="false">IF(ISNUMBER(B14),B14+$F$7,"")</f>
        <v>48</v>
      </c>
      <c r="D14" s="14" t="n">
        <v>-20.15</v>
      </c>
      <c r="E14" s="14" t="n">
        <v>-48.7</v>
      </c>
      <c r="F14" s="15" t="n">
        <f aca="false">IF(AND(ISNUMBER(D14),ISNUMBER(E14)),D14-E14,"")</f>
        <v>28.55</v>
      </c>
      <c r="G14" s="14" t="n">
        <v>-58.5</v>
      </c>
      <c r="H14" s="14" t="n">
        <v>-56.5</v>
      </c>
      <c r="I14" s="16" t="n">
        <f aca="false">IF(AND(ISNUMBER(G14),ISNUMBER(H14)),G14-H14,"")</f>
        <v>-2</v>
      </c>
      <c r="J14" s="17" t="str">
        <f aca="false">IF(ISNUMBER(I14),IF(I14&lt;=0.5,"PASS","FAIL"),"")</f>
        <v>PASS</v>
      </c>
      <c r="K14" s="10"/>
      <c r="L14" s="10"/>
      <c r="M14" s="18"/>
      <c r="T14" s="3" t="n">
        <v>0.5</v>
      </c>
      <c r="U14" s="3" t="n">
        <v>0</v>
      </c>
    </row>
    <row r="15" customFormat="false" ht="14.25" hidden="false" customHeight="false" outlineLevel="0" collapsed="false">
      <c r="B15" s="10" t="n">
        <v>55</v>
      </c>
      <c r="C15" s="13" t="n">
        <f aca="false">IF(ISNUMBER(B15),B15+$F$7,"")</f>
        <v>53</v>
      </c>
      <c r="D15" s="14" t="n">
        <v>-20.37</v>
      </c>
      <c r="E15" s="14" t="n">
        <v>-44.7</v>
      </c>
      <c r="F15" s="15" t="n">
        <f aca="false">IF(AND(ISNUMBER(D15),ISNUMBER(E15)),D15-E15,"")</f>
        <v>24.33</v>
      </c>
      <c r="G15" s="14" t="n">
        <v>-59.5</v>
      </c>
      <c r="H15" s="14" t="n">
        <v>-56.9</v>
      </c>
      <c r="I15" s="16" t="n">
        <f aca="false">IF(AND(ISNUMBER(G15),ISNUMBER(H15)),G15-H15,"")</f>
        <v>-2.6</v>
      </c>
      <c r="J15" s="17" t="str">
        <f aca="false">IF(ISNUMBER(I15),IF(I15&lt;=0.5,"PASS","FAIL"),"")</f>
        <v>PASS</v>
      </c>
      <c r="K15" s="10"/>
      <c r="L15" s="10"/>
      <c r="M15" s="18"/>
      <c r="T15" s="3" t="n">
        <v>0.5</v>
      </c>
      <c r="U15" s="3" t="n">
        <v>0</v>
      </c>
    </row>
    <row r="16" customFormat="false" ht="14.25" hidden="false" customHeight="false" outlineLevel="0" collapsed="false">
      <c r="B16" s="10" t="n">
        <v>57</v>
      </c>
      <c r="C16" s="13" t="n">
        <f aca="false">IF(ISNUMBER(B16),B16+$F$7,"")</f>
        <v>55</v>
      </c>
      <c r="D16" s="14" t="n">
        <v>-20.4</v>
      </c>
      <c r="E16" s="14" t="n">
        <v>-44.21</v>
      </c>
      <c r="F16" s="15" t="n">
        <f aca="false">IF(AND(ISNUMBER(D16),ISNUMBER(E16)),D16-E16,"")</f>
        <v>23.81</v>
      </c>
      <c r="G16" s="14" t="n">
        <v>-59.5</v>
      </c>
      <c r="H16" s="14" t="n">
        <v>-57</v>
      </c>
      <c r="I16" s="16" t="n">
        <f aca="false">IF(AND(ISNUMBER(G16),ISNUMBER(H16)),G16-H16,"")</f>
        <v>-2.5</v>
      </c>
      <c r="J16" s="17" t="str">
        <f aca="false">IF(ISNUMBER(I16),IF(I16&lt;=0.5,"PASS","FAIL"),"")</f>
        <v>PASS</v>
      </c>
      <c r="K16" s="10"/>
      <c r="L16" s="10"/>
      <c r="M16" s="18"/>
      <c r="T16" s="3" t="n">
        <v>0.5</v>
      </c>
      <c r="U16" s="3" t="n">
        <v>0</v>
      </c>
    </row>
    <row r="17" customFormat="false" ht="14.25" hidden="false" customHeight="false" outlineLevel="0" collapsed="false">
      <c r="B17" s="10" t="n">
        <v>60</v>
      </c>
      <c r="C17" s="13" t="n">
        <f aca="false">IF(ISNUMBER(B17),B17+$F$7,"")</f>
        <v>58</v>
      </c>
      <c r="D17" s="14" t="n">
        <v>-20.65</v>
      </c>
      <c r="E17" s="14" t="n">
        <v>-43.68</v>
      </c>
      <c r="F17" s="15" t="n">
        <f aca="false">IF(AND(ISNUMBER(D17),ISNUMBER(E17)),D17-E17,"")</f>
        <v>23.03</v>
      </c>
      <c r="G17" s="14" t="n">
        <v>-59.1</v>
      </c>
      <c r="H17" s="14" t="n">
        <v>-57</v>
      </c>
      <c r="I17" s="16" t="n">
        <f aca="false">IF(AND(ISNUMBER(G17),ISNUMBER(H17)),G17-H17,"")</f>
        <v>-2.1</v>
      </c>
      <c r="J17" s="17" t="str">
        <f aca="false">IF(ISNUMBER(I17),IF(I17&lt;=0.5,"PASS","FAIL"),"")</f>
        <v>PASS</v>
      </c>
      <c r="K17" s="10"/>
      <c r="L17" s="10"/>
      <c r="M17" s="18"/>
      <c r="T17" s="3" t="n">
        <v>0.5</v>
      </c>
      <c r="U17" s="3" t="n">
        <v>0</v>
      </c>
    </row>
    <row r="18" customFormat="false" ht="14.25" hidden="false" customHeight="false" outlineLevel="0" collapsed="false">
      <c r="B18" s="10" t="n">
        <v>65</v>
      </c>
      <c r="C18" s="13" t="n">
        <f aca="false">IF(ISNUMBER(B18),B18+$F$7,"")</f>
        <v>63</v>
      </c>
      <c r="D18" s="14" t="n">
        <v>-20.94</v>
      </c>
      <c r="E18" s="14" t="n">
        <v>-42.57</v>
      </c>
      <c r="F18" s="15" t="n">
        <f aca="false">IF(AND(ISNUMBER(D18),ISNUMBER(E18)),D18-E18,"")</f>
        <v>21.63</v>
      </c>
      <c r="G18" s="14" t="n">
        <v>-58.5</v>
      </c>
      <c r="H18" s="14" t="n">
        <v>-57.5</v>
      </c>
      <c r="I18" s="16" t="n">
        <f aca="false">IF(AND(ISNUMBER(G18),ISNUMBER(H18)),G18-H18,"")</f>
        <v>-1</v>
      </c>
      <c r="J18" s="17" t="str">
        <f aca="false">IF(ISNUMBER(I18),IF(I18&lt;=0.5,"PASS","FAIL"),"")</f>
        <v>PASS</v>
      </c>
      <c r="K18" s="10"/>
      <c r="L18" s="10"/>
      <c r="M18" s="18"/>
      <c r="T18" s="3" t="n">
        <v>0.5</v>
      </c>
      <c r="U18" s="3" t="n">
        <v>0</v>
      </c>
    </row>
    <row r="19" customFormat="false" ht="14.25" hidden="false" customHeight="false" outlineLevel="0" collapsed="false">
      <c r="B19" s="10" t="n">
        <v>70</v>
      </c>
      <c r="C19" s="13" t="n">
        <f aca="false">IF(ISNUMBER(B19),B19+$F$7,"")</f>
        <v>68</v>
      </c>
      <c r="D19" s="14" t="n">
        <v>-21.16</v>
      </c>
      <c r="E19" s="14" t="n">
        <v>-41.16</v>
      </c>
      <c r="F19" s="15" t="n">
        <f aca="false">IF(AND(ISNUMBER(D19),ISNUMBER(E19)),D19-E19,"")</f>
        <v>20</v>
      </c>
      <c r="G19" s="14" t="n">
        <v>-57.6</v>
      </c>
      <c r="H19" s="14" t="n">
        <v>-57.39</v>
      </c>
      <c r="I19" s="16" t="n">
        <f aca="false">IF(AND(ISNUMBER(G19),ISNUMBER(H19)),G19-H19,"")</f>
        <v>-0.210000000000001</v>
      </c>
      <c r="J19" s="17" t="str">
        <f aca="false">IF(ISNUMBER(I19),IF(I19&lt;=0.5,"PASS","FAIL"),"")</f>
        <v>PASS</v>
      </c>
      <c r="K19" s="10"/>
      <c r="L19" s="10"/>
      <c r="M19" s="18"/>
      <c r="T19" s="3" t="n">
        <v>0.5</v>
      </c>
      <c r="U19" s="3" t="n">
        <v>0</v>
      </c>
    </row>
    <row r="20" customFormat="false" ht="14.25" hidden="false" customHeight="false" outlineLevel="0" collapsed="false">
      <c r="B20" s="10" t="n">
        <v>75</v>
      </c>
      <c r="C20" s="13" t="n">
        <f aca="false">IF(ISNUMBER(B20),B20+$F$7,"")</f>
        <v>73</v>
      </c>
      <c r="D20" s="14" t="n">
        <v>-21.33</v>
      </c>
      <c r="E20" s="14" t="n">
        <v>-40.26</v>
      </c>
      <c r="F20" s="15" t="n">
        <f aca="false">IF(AND(ISNUMBER(D20),ISNUMBER(E20)),D20-E20,"")</f>
        <v>18.93</v>
      </c>
      <c r="G20" s="14" t="n">
        <v>-57</v>
      </c>
      <c r="H20" s="14" t="n">
        <v>-57.6</v>
      </c>
      <c r="I20" s="16" t="n">
        <f aca="false">IF(AND(ISNUMBER(G20),ISNUMBER(H20)),G20-H20,"")</f>
        <v>0.600000000000001</v>
      </c>
      <c r="J20" s="17" t="str">
        <f aca="false">IF(ISNUMBER(I20),IF(I20&lt;=0.5,"PASS","FAIL"),"")</f>
        <v>FAIL</v>
      </c>
      <c r="K20" s="10"/>
      <c r="L20" s="10"/>
      <c r="M20" s="18"/>
      <c r="T20" s="3" t="n">
        <v>0.5</v>
      </c>
      <c r="U20" s="3" t="n">
        <v>0</v>
      </c>
    </row>
    <row r="21" customFormat="false" ht="14.25" hidden="false" customHeight="false" outlineLevel="0" collapsed="false">
      <c r="B21" s="10" t="n">
        <v>80</v>
      </c>
      <c r="C21" s="13" t="n">
        <f aca="false">IF(ISNUMBER(B21),B21+$F$7,"")</f>
        <v>78</v>
      </c>
      <c r="D21" s="14" t="n">
        <v>-21.42</v>
      </c>
      <c r="E21" s="14" t="n">
        <v>-38.57</v>
      </c>
      <c r="F21" s="15" t="n">
        <f aca="false">IF(AND(ISNUMBER(D21),ISNUMBER(E21)),D21-E21,"")</f>
        <v>17.15</v>
      </c>
      <c r="G21" s="14" t="n">
        <v>-56.5</v>
      </c>
      <c r="H21" s="14" t="n">
        <v>-57.6</v>
      </c>
      <c r="I21" s="16" t="n">
        <f aca="false">IF(AND(ISNUMBER(G21),ISNUMBER(H21)),G21-H21,"")</f>
        <v>1.1</v>
      </c>
      <c r="J21" s="17" t="str">
        <f aca="false">IF(ISNUMBER(I21),IF(I21&lt;=0.5,"PASS","FAIL"),"")</f>
        <v>FAIL</v>
      </c>
      <c r="K21" s="10"/>
      <c r="L21" s="10"/>
      <c r="M21" s="18"/>
      <c r="T21" s="3" t="n">
        <v>0.5</v>
      </c>
      <c r="U21" s="3" t="n">
        <v>0</v>
      </c>
    </row>
    <row r="22" customFormat="false" ht="14.25" hidden="false" customHeight="false" outlineLevel="0" collapsed="false">
      <c r="B22" s="10" t="n">
        <v>85</v>
      </c>
      <c r="C22" s="13" t="n">
        <f aca="false">IF(ISNUMBER(B22),B22+$F$7,"")</f>
        <v>83</v>
      </c>
      <c r="D22" s="14" t="n">
        <v>-21.36</v>
      </c>
      <c r="E22" s="14" t="n">
        <v>-37.18</v>
      </c>
      <c r="F22" s="15" t="n">
        <f aca="false">IF(AND(ISNUMBER(D22),ISNUMBER(E22)),D22-E22,"")</f>
        <v>15.82</v>
      </c>
      <c r="G22" s="14" t="n">
        <v>-56.1</v>
      </c>
      <c r="H22" s="14" t="n">
        <v>-57.6</v>
      </c>
      <c r="I22" s="16" t="n">
        <f aca="false">IF(AND(ISNUMBER(G22),ISNUMBER(H22)),G22-H22,"")</f>
        <v>1.5</v>
      </c>
      <c r="J22" s="17" t="str">
        <f aca="false">IF(ISNUMBER(I22),IF(I22&lt;=0.5,"PASS","FAIL"),"")</f>
        <v>FAIL</v>
      </c>
      <c r="K22" s="10"/>
      <c r="L22" s="10"/>
      <c r="M22" s="18"/>
      <c r="T22" s="3" t="n">
        <v>0.5</v>
      </c>
      <c r="U22" s="3" t="n">
        <v>0</v>
      </c>
    </row>
    <row r="23" customFormat="false" ht="14.25" hidden="false" customHeight="false" outlineLevel="0" collapsed="false">
      <c r="B23" s="10" t="n">
        <v>88</v>
      </c>
      <c r="C23" s="13" t="n">
        <f aca="false">IF(ISNUMBER(B23),B23+$F$7,"")</f>
        <v>86</v>
      </c>
      <c r="D23" s="14" t="n">
        <v>-21.27</v>
      </c>
      <c r="E23" s="14" t="n">
        <v>-34.85</v>
      </c>
      <c r="F23" s="15" t="n">
        <f aca="false">IF(AND(ISNUMBER(D23),ISNUMBER(E23)),D23-E23,"")</f>
        <v>13.58</v>
      </c>
      <c r="G23" s="14" t="n">
        <v>-56.11</v>
      </c>
      <c r="H23" s="14" t="n">
        <f aca="false">-57.8</f>
        <v>-57.8</v>
      </c>
      <c r="I23" s="16" t="n">
        <f aca="false">IF(AND(ISNUMBER(G23),ISNUMBER(H23)),G23-H23,"")</f>
        <v>1.69</v>
      </c>
      <c r="J23" s="17" t="str">
        <f aca="false">IF(ISNUMBER(I23),IF(I23&lt;=0.5,"PASS","FAIL"),"")</f>
        <v>FAIL</v>
      </c>
      <c r="K23" s="10"/>
      <c r="L23" s="10"/>
      <c r="M23" s="18"/>
      <c r="T23" s="3" t="n">
        <v>0.5</v>
      </c>
      <c r="U23" s="3" t="n">
        <v>0</v>
      </c>
    </row>
    <row r="25" customFormat="false" ht="14.25" hidden="false" customHeight="false" outlineLevel="0" collapsed="false">
      <c r="B25" s="3" t="s">
        <v>53</v>
      </c>
      <c r="F25" s="15" t="n">
        <f aca="false">IF(COUNT(F10:F23)&gt;0,MIN(F10:F23),"")</f>
        <v>13.58</v>
      </c>
      <c r="G25" s="7" t="s">
        <v>54</v>
      </c>
    </row>
    <row r="26" customFormat="false" ht="14.25" hidden="false" customHeight="false" outlineLevel="0" collapsed="false">
      <c r="B26" s="3" t="s">
        <v>55</v>
      </c>
      <c r="F26" s="15" t="n">
        <f aca="false">IF(COUNT(F10:F23)&gt;0,AVERAGE(F10:F23),"")</f>
        <v>22.0861538461538</v>
      </c>
      <c r="G26" s="7" t="s">
        <v>56</v>
      </c>
    </row>
    <row r="27" customFormat="false" ht="14.25" hidden="false" customHeight="false" outlineLevel="0" collapsed="false">
      <c r="B27" s="3" t="s">
        <v>57</v>
      </c>
      <c r="F27" s="15" t="n">
        <f aca="false">IF(COUNT(F10:F23)&gt;0,MAX(F10:F23),"")</f>
        <v>28.55</v>
      </c>
      <c r="G27" s="7" t="s">
        <v>56</v>
      </c>
    </row>
    <row r="28" customFormat="false" ht="14.25" hidden="false" customHeight="false" outlineLevel="0" collapsed="false">
      <c r="B28" s="3" t="s">
        <v>58</v>
      </c>
      <c r="F28" s="15" t="n">
        <f aca="false">IF(COUNT(I10:I23)&gt;0,MAX(I10:I23),"")</f>
        <v>1.69</v>
      </c>
      <c r="G28" s="7" t="s">
        <v>59</v>
      </c>
    </row>
    <row r="29" customFormat="false" ht="14.25" hidden="false" customHeight="false" outlineLevel="0" collapsed="false">
      <c r="B29" s="3" t="s">
        <v>60</v>
      </c>
      <c r="F29" s="15" t="n">
        <f aca="false">IF(COUNT(I10:I23)&gt;0,AVERAGE(I10:I23),"")</f>
        <v>-0.347692307692308</v>
      </c>
      <c r="G29" s="7" t="s">
        <v>56</v>
      </c>
    </row>
    <row r="30" customFormat="false" ht="14.25" hidden="false" customHeight="false" outlineLevel="0" collapsed="false">
      <c r="B30" s="3" t="s">
        <v>61</v>
      </c>
      <c r="F30" s="15" t="n">
        <f aca="false">README!$C$30</f>
        <v>21.09</v>
      </c>
      <c r="G30" s="7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U27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G8" activeCellId="0" sqref="G8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14"/>
    <col collapsed="false" customWidth="true" hidden="false" outlineLevel="0" max="4" min="4" style="0" width="11"/>
    <col collapsed="false" customWidth="true" hidden="false" outlineLevel="0" max="9" min="5" style="0" width="15"/>
    <col collapsed="false" customWidth="true" hidden="false" outlineLevel="0" max="10" min="10" style="0" width="13"/>
    <col collapsed="false" customWidth="true" hidden="false" outlineLevel="0" max="11" min="11" style="0" width="26"/>
  </cols>
  <sheetData>
    <row r="2" customFormat="false" ht="17.25" hidden="false" customHeight="true" outlineLevel="0" collapsed="false">
      <c r="B2" s="8" t="s">
        <v>63</v>
      </c>
    </row>
    <row r="3" customFormat="false" ht="15" hidden="false" customHeight="true" outlineLevel="0" collapsed="false">
      <c r="B3" s="7" t="s">
        <v>64</v>
      </c>
    </row>
    <row r="4" customFormat="false" ht="15" hidden="false" customHeight="true" outlineLevel="0" collapsed="false">
      <c r="B4" s="7" t="s">
        <v>65</v>
      </c>
    </row>
    <row r="5" customFormat="false" ht="15" hidden="false" customHeight="true" outlineLevel="0" collapsed="false">
      <c r="B5" s="19" t="s">
        <v>66</v>
      </c>
    </row>
    <row r="7" customFormat="false" ht="26.25" hidden="false" customHeight="true" outlineLevel="0" collapsed="false">
      <c r="A7" s="11"/>
      <c r="B7" s="11" t="s">
        <v>40</v>
      </c>
      <c r="C7" s="11" t="s">
        <v>39</v>
      </c>
      <c r="D7" s="11" t="s">
        <v>67</v>
      </c>
      <c r="E7" s="11" t="s">
        <v>44</v>
      </c>
      <c r="F7" s="11" t="s">
        <v>45</v>
      </c>
      <c r="G7" s="11" t="s">
        <v>46</v>
      </c>
      <c r="H7" s="11" t="s">
        <v>41</v>
      </c>
      <c r="I7" s="11" t="s">
        <v>42</v>
      </c>
      <c r="J7" s="11" t="s">
        <v>43</v>
      </c>
      <c r="K7" s="11" t="s">
        <v>68</v>
      </c>
      <c r="T7" s="12" t="s">
        <v>51</v>
      </c>
      <c r="U7" s="12" t="s">
        <v>52</v>
      </c>
    </row>
    <row r="8" customFormat="false" ht="15" hidden="false" customHeight="true" outlineLevel="0" collapsed="false">
      <c r="B8" s="10" t="n">
        <v>57</v>
      </c>
      <c r="C8" s="10" t="n">
        <v>77</v>
      </c>
      <c r="D8" s="13" t="n">
        <f aca="false">IF(AND(ISNUMBER(B8),ISNUMBER(C8)),ABS(C8-B8),"")</f>
        <v>20</v>
      </c>
      <c r="E8" s="14" t="n">
        <v>-57.3</v>
      </c>
      <c r="F8" s="14" t="n">
        <v>-57.11</v>
      </c>
      <c r="G8" s="16" t="n">
        <f aca="false">IF(AND(ISNUMBER(E8),ISNUMBER(F8)),E8-F8,"")</f>
        <v>-0.189999999999998</v>
      </c>
      <c r="H8" s="14" t="n">
        <v>-34.4</v>
      </c>
      <c r="I8" s="14" t="n">
        <v>-55.8</v>
      </c>
      <c r="J8" s="15" t="n">
        <f aca="false">IF(AND(ISNUMBER(H8),ISNUMBER(I8)),H8-I8,"")</f>
        <v>21.4</v>
      </c>
      <c r="K8" s="17" t="str">
        <f aca="false">IF(ISNUMBER(G8),IF(G8&lt;=0.5,"PASS","FAIL"),"")</f>
        <v>PASS</v>
      </c>
      <c r="T8" s="3" t="n">
        <v>0.5</v>
      </c>
      <c r="U8" s="3" t="n">
        <v>0</v>
      </c>
    </row>
    <row r="9" customFormat="false" ht="15" hidden="false" customHeight="true" outlineLevel="0" collapsed="false">
      <c r="B9" s="10" t="n">
        <v>57</v>
      </c>
      <c r="C9" s="10" t="n">
        <v>67</v>
      </c>
      <c r="D9" s="13" t="n">
        <f aca="false">IF(AND(ISNUMBER(B9),ISNUMBER(C9)),ABS(C9-B9),"")</f>
        <v>10</v>
      </c>
      <c r="E9" s="14" t="n">
        <v>-57.58</v>
      </c>
      <c r="F9" s="14" t="n">
        <v>-57.1</v>
      </c>
      <c r="G9" s="16" t="n">
        <f aca="false">IF(AND(ISNUMBER(E9),ISNUMBER(F9)),E9-F9,"")</f>
        <v>-0.479999999999997</v>
      </c>
      <c r="H9" s="14" t="n">
        <v>-34.03</v>
      </c>
      <c r="I9" s="14" t="n">
        <v>-54.53</v>
      </c>
      <c r="J9" s="15" t="n">
        <f aca="false">IF(AND(ISNUMBER(H9),ISNUMBER(I9)),H9-I9,"")</f>
        <v>20.5</v>
      </c>
      <c r="K9" s="17" t="str">
        <f aca="false">IF(ISNUMBER(G9),IF(G9&lt;=0.5,"PASS","FAIL"),"")</f>
        <v>PASS</v>
      </c>
      <c r="T9" s="3" t="n">
        <v>0.5</v>
      </c>
      <c r="U9" s="3" t="n">
        <v>0</v>
      </c>
    </row>
    <row r="10" customFormat="false" ht="15" hidden="false" customHeight="true" outlineLevel="0" collapsed="false">
      <c r="B10" s="10" t="n">
        <v>57</v>
      </c>
      <c r="C10" s="10" t="n">
        <v>62</v>
      </c>
      <c r="D10" s="13" t="n">
        <f aca="false">IF(AND(ISNUMBER(B10),ISNUMBER(C10)),ABS(C10-B10),"")</f>
        <v>5</v>
      </c>
      <c r="E10" s="14" t="n">
        <v>-57.34</v>
      </c>
      <c r="F10" s="14" t="n">
        <v>-57.06</v>
      </c>
      <c r="G10" s="16" t="n">
        <f aca="false">IF(AND(ISNUMBER(E10),ISNUMBER(F10)),E10-F10,"")</f>
        <v>-0.280000000000001</v>
      </c>
      <c r="H10" s="14" t="n">
        <v>-33.76</v>
      </c>
      <c r="I10" s="14" t="n">
        <v>-56.63</v>
      </c>
      <c r="J10" s="15" t="n">
        <f aca="false">IF(AND(ISNUMBER(H10),ISNUMBER(I10)),H10-I10,"")</f>
        <v>22.87</v>
      </c>
      <c r="K10" s="17" t="str">
        <f aca="false">IF(ISNUMBER(G10),IF(G10&lt;=0.5,"PASS","FAIL"),"")</f>
        <v>PASS</v>
      </c>
      <c r="T10" s="3" t="n">
        <v>0.5</v>
      </c>
      <c r="U10" s="3" t="n">
        <v>0</v>
      </c>
    </row>
    <row r="11" customFormat="false" ht="15" hidden="false" customHeight="true" outlineLevel="0" collapsed="false">
      <c r="B11" s="10" t="n">
        <v>57</v>
      </c>
      <c r="C11" s="10" t="n">
        <v>59</v>
      </c>
      <c r="D11" s="13" t="n">
        <f aca="false">IF(AND(ISNUMBER(B11),ISNUMBER(C11)),ABS(C11-B11),"")</f>
        <v>2</v>
      </c>
      <c r="E11" s="14" t="n">
        <v>-57.4</v>
      </c>
      <c r="F11" s="14" t="n">
        <v>-57</v>
      </c>
      <c r="G11" s="16" t="n">
        <f aca="false">IF(AND(ISNUMBER(E11),ISNUMBER(F11)),E11-F11,"")</f>
        <v>-0.399999999999999</v>
      </c>
      <c r="H11" s="14" t="n">
        <v>-33.63</v>
      </c>
      <c r="I11" s="14" t="n">
        <v>-55.77</v>
      </c>
      <c r="J11" s="15" t="n">
        <f aca="false">IF(AND(ISNUMBER(H11),ISNUMBER(I11)),H11-I11,"")</f>
        <v>22.14</v>
      </c>
      <c r="K11" s="17" t="str">
        <f aca="false">IF(ISNUMBER(G11),IF(G11&lt;=0.5,"PASS","FAIL"),"")</f>
        <v>PASS</v>
      </c>
      <c r="T11" s="3" t="n">
        <v>0.5</v>
      </c>
      <c r="U11" s="3" t="n">
        <v>0</v>
      </c>
    </row>
    <row r="12" customFormat="false" ht="15" hidden="false" customHeight="true" outlineLevel="0" collapsed="false">
      <c r="B12" s="10" t="n">
        <v>57</v>
      </c>
      <c r="C12" s="10" t="n">
        <v>58</v>
      </c>
      <c r="D12" s="13" t="n">
        <f aca="false">IF(AND(ISNUMBER(B12),ISNUMBER(C12)),ABS(C12-B12),"")</f>
        <v>1</v>
      </c>
      <c r="E12" s="14" t="n">
        <v>-57.5</v>
      </c>
      <c r="F12" s="14" t="n">
        <v>-57</v>
      </c>
      <c r="G12" s="16" t="n">
        <f aca="false">IF(AND(ISNUMBER(E12),ISNUMBER(F12)),E12-F12,"")</f>
        <v>-0.5</v>
      </c>
      <c r="H12" s="14" t="n">
        <v>-33.53</v>
      </c>
      <c r="I12" s="14" t="n">
        <v>-53.63</v>
      </c>
      <c r="J12" s="15" t="n">
        <f aca="false">IF(AND(ISNUMBER(H12),ISNUMBER(I12)),H12-I12,"")</f>
        <v>20.1</v>
      </c>
      <c r="K12" s="17" t="str">
        <f aca="false">IF(ISNUMBER(G12),IF(G12&lt;=0.5,"PASS","FAIL"),"")</f>
        <v>PASS</v>
      </c>
      <c r="T12" s="3" t="n">
        <v>0.5</v>
      </c>
      <c r="U12" s="3" t="n">
        <v>0</v>
      </c>
    </row>
    <row r="13" customFormat="false" ht="15" hidden="false" customHeight="true" outlineLevel="0" collapsed="false">
      <c r="B13" s="10" t="n">
        <v>57</v>
      </c>
      <c r="C13" s="10" t="n">
        <v>57.5</v>
      </c>
      <c r="D13" s="13" t="n">
        <f aca="false">IF(AND(ISNUMBER(B13),ISNUMBER(C13)),ABS(C13-B13),"")</f>
        <v>0.5</v>
      </c>
      <c r="E13" s="14" t="n">
        <v>-57.4</v>
      </c>
      <c r="F13" s="14" t="n">
        <v>-57.1</v>
      </c>
      <c r="G13" s="16" t="n">
        <f aca="false">IF(AND(ISNUMBER(E13),ISNUMBER(F13)),E13-F13,"")</f>
        <v>-0.299999999999997</v>
      </c>
      <c r="H13" s="14" t="n">
        <v>-33.5</v>
      </c>
      <c r="I13" s="14" t="n">
        <v>-53.86</v>
      </c>
      <c r="J13" s="15" t="n">
        <f aca="false">IF(AND(ISNUMBER(H13),ISNUMBER(I13)),H13-I13,"")</f>
        <v>20.36</v>
      </c>
      <c r="K13" s="17" t="str">
        <f aca="false">IF(ISNUMBER(G13),IF(G13&lt;=0.5,"PASS","FAIL"),"")</f>
        <v>PASS</v>
      </c>
      <c r="T13" s="3" t="n">
        <v>0.5</v>
      </c>
      <c r="U13" s="3" t="n">
        <v>0</v>
      </c>
    </row>
    <row r="14" customFormat="false" ht="15" hidden="false" customHeight="true" outlineLevel="0" collapsed="false">
      <c r="B14" s="10" t="n">
        <v>57</v>
      </c>
      <c r="C14" s="10" t="n">
        <v>57.2</v>
      </c>
      <c r="D14" s="13" t="n">
        <f aca="false">IF(AND(ISNUMBER(B14),ISNUMBER(C14)),ABS(C14-B14),"")</f>
        <v>0.200000000000003</v>
      </c>
      <c r="E14" s="14" t="n">
        <v>-57.43</v>
      </c>
      <c r="F14" s="14" t="n">
        <v>-57.04</v>
      </c>
      <c r="G14" s="16" t="n">
        <f aca="false">IF(AND(ISNUMBER(E14),ISNUMBER(F14)),E14-F14,"")</f>
        <v>-0.390000000000001</v>
      </c>
      <c r="H14" s="14" t="n">
        <v>-33.47</v>
      </c>
      <c r="I14" s="14" t="n">
        <v>-56.87</v>
      </c>
      <c r="J14" s="15" t="n">
        <f aca="false">IF(AND(ISNUMBER(H14),ISNUMBER(I14)),H14-I14,"")</f>
        <v>23.4</v>
      </c>
      <c r="K14" s="17" t="str">
        <f aca="false">IF(ISNUMBER(G14),IF(G14&lt;=0.5,"PASS","FAIL"),"")</f>
        <v>PASS</v>
      </c>
      <c r="T14" s="3" t="n">
        <v>0.5</v>
      </c>
      <c r="U14" s="3" t="n">
        <v>0</v>
      </c>
    </row>
    <row r="15" customFormat="false" ht="15" hidden="false" customHeight="true" outlineLevel="0" collapsed="false">
      <c r="B15" s="10" t="n">
        <v>57</v>
      </c>
      <c r="C15" s="10" t="n">
        <v>57.1</v>
      </c>
      <c r="D15" s="13" t="n">
        <f aca="false">IF(AND(ISNUMBER(B15),ISNUMBER(C15)),ABS(C15-B15),"")</f>
        <v>0.100000000000001</v>
      </c>
      <c r="E15" s="14" t="n">
        <v>-57.4</v>
      </c>
      <c r="F15" s="14" t="n">
        <v>-57</v>
      </c>
      <c r="G15" s="16" t="n">
        <f aca="false">IF(AND(ISNUMBER(E15),ISNUMBER(F15)),E15-F15,"")</f>
        <v>-0.399999999999999</v>
      </c>
      <c r="H15" s="14" t="n">
        <v>-33.43</v>
      </c>
      <c r="I15" s="14" t="n">
        <v>-64.3</v>
      </c>
      <c r="J15" s="15" t="n">
        <f aca="false">IF(AND(ISNUMBER(H15),ISNUMBER(I15)),H15-I15,"")</f>
        <v>30.87</v>
      </c>
      <c r="K15" s="17" t="str">
        <f aca="false">IF(ISNUMBER(G15),IF(G15&lt;=0.5,"PASS","FAIL"),"")</f>
        <v>PASS</v>
      </c>
      <c r="T15" s="3" t="n">
        <v>0.5</v>
      </c>
      <c r="U15" s="3" t="n">
        <v>0</v>
      </c>
    </row>
    <row r="16" customFormat="false" ht="15" hidden="false" customHeight="true" outlineLevel="0" collapsed="false">
      <c r="B16" s="10" t="n">
        <v>57</v>
      </c>
      <c r="C16" s="10" t="n">
        <v>57.05</v>
      </c>
      <c r="D16" s="13" t="n">
        <f aca="false">IF(AND(ISNUMBER(B16),ISNUMBER(C16)),ABS(C16-B16),"")</f>
        <v>0.0499999999999972</v>
      </c>
      <c r="E16" s="14" t="n">
        <v>-57.53</v>
      </c>
      <c r="F16" s="14" t="n">
        <v>-57.12</v>
      </c>
      <c r="G16" s="16" t="n">
        <f aca="false">IF(AND(ISNUMBER(E16),ISNUMBER(F16)),E16-F16,"")</f>
        <v>-0.410000000000004</v>
      </c>
      <c r="H16" s="14" t="n">
        <v>-33.48</v>
      </c>
      <c r="I16" s="14" t="n">
        <v>-59.08</v>
      </c>
      <c r="J16" s="15" t="n">
        <f aca="false">IF(AND(ISNUMBER(H16),ISNUMBER(I16)),H16-I16,"")</f>
        <v>25.6</v>
      </c>
      <c r="K16" s="17" t="str">
        <f aca="false">IF(ISNUMBER(G16),IF(G16&lt;=0.5,"PASS","FAIL"),"")</f>
        <v>PASS</v>
      </c>
      <c r="T16" s="3" t="n">
        <v>0.5</v>
      </c>
      <c r="U16" s="3" t="n">
        <v>0</v>
      </c>
    </row>
    <row r="18" customFormat="false" ht="15" hidden="false" customHeight="true" outlineLevel="0" collapsed="false">
      <c r="B18" s="9" t="s">
        <v>69</v>
      </c>
      <c r="E18" s="13" t="str">
        <f aca="false">IFERROR(MIN(IF(G8:G16&lt;=0.5,D8:D16)),"")</f>
        <v/>
      </c>
      <c r="F18" s="7" t="s">
        <v>70</v>
      </c>
    </row>
    <row r="19" customFormat="false" ht="15" hidden="false" customHeight="true" outlineLevel="0" collapsed="false">
      <c r="B19" s="3" t="s">
        <v>71</v>
      </c>
      <c r="E19" s="6" t="n">
        <v>0.5</v>
      </c>
      <c r="F19" s="7" t="s">
        <v>72</v>
      </c>
    </row>
    <row r="21" customFormat="false" ht="15" hidden="false" customHeight="true" outlineLevel="0" collapsed="false">
      <c r="B21" s="4" t="s">
        <v>73</v>
      </c>
    </row>
    <row r="22" customFormat="false" ht="15" hidden="false" customHeight="true" outlineLevel="0" collapsed="false">
      <c r="B22" s="7" t="s">
        <v>74</v>
      </c>
    </row>
    <row r="23" customFormat="false" ht="15" hidden="false" customHeight="true" outlineLevel="0" collapsed="false">
      <c r="B23" s="7" t="s">
        <v>75</v>
      </c>
    </row>
    <row r="24" customFormat="false" ht="15" hidden="false" customHeight="true" outlineLevel="0" collapsed="false">
      <c r="B24" s="7" t="s">
        <v>76</v>
      </c>
    </row>
    <row r="25" customFormat="false" ht="15" hidden="false" customHeight="true" outlineLevel="0" collapsed="false">
      <c r="B25" s="7" t="s">
        <v>77</v>
      </c>
    </row>
    <row r="26" customFormat="false" ht="15" hidden="false" customHeight="true" outlineLevel="0" collapsed="false">
      <c r="B26" s="7" t="s">
        <v>78</v>
      </c>
    </row>
    <row r="27" customFormat="false" ht="15" hidden="false" customHeight="true" outlineLevel="0" collapsed="false">
      <c r="B27" s="7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I24" activeCellId="0" sqref="I24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8" min="4" style="0" width="11"/>
    <col collapsed="false" customWidth="true" hidden="false" outlineLevel="0" max="10" min="9" style="0" width="13"/>
    <col collapsed="false" customWidth="true" hidden="false" outlineLevel="0" max="11" min="11" style="0" width="12"/>
    <col collapsed="false" customWidth="true" hidden="false" outlineLevel="0" max="12" min="12" style="0" width="22"/>
  </cols>
  <sheetData>
    <row r="2" customFormat="false" ht="17.25" hidden="false" customHeight="true" outlineLevel="0" collapsed="false">
      <c r="B2" s="8" t="s">
        <v>80</v>
      </c>
    </row>
    <row r="3" customFormat="false" ht="15" hidden="false" customHeight="true" outlineLevel="0" collapsed="false">
      <c r="B3" s="7" t="s">
        <v>81</v>
      </c>
    </row>
    <row r="4" customFormat="false" ht="15" hidden="false" customHeight="true" outlineLevel="0" collapsed="false">
      <c r="B4" s="7" t="s">
        <v>82</v>
      </c>
    </row>
    <row r="5" customFormat="false" ht="15" hidden="false" customHeight="true" outlineLevel="0" collapsed="false">
      <c r="B5" s="7" t="s">
        <v>83</v>
      </c>
    </row>
    <row r="7" customFormat="false" ht="26.25" hidden="false" customHeight="true" outlineLevel="0" collapsed="false">
      <c r="A7" s="11"/>
      <c r="B7" s="11" t="s">
        <v>84</v>
      </c>
      <c r="C7" s="11" t="s">
        <v>85</v>
      </c>
      <c r="D7" s="11" t="s">
        <v>86</v>
      </c>
      <c r="E7" s="11" t="s">
        <v>87</v>
      </c>
      <c r="F7" s="11" t="s">
        <v>88</v>
      </c>
      <c r="G7" s="11" t="s">
        <v>89</v>
      </c>
      <c r="H7" s="11" t="s">
        <v>90</v>
      </c>
      <c r="I7" s="11" t="s">
        <v>91</v>
      </c>
      <c r="J7" s="11" t="s">
        <v>92</v>
      </c>
      <c r="K7" s="11" t="s">
        <v>93</v>
      </c>
      <c r="L7" s="11" t="s">
        <v>50</v>
      </c>
    </row>
    <row r="8" customFormat="false" ht="15" hidden="false" customHeight="true" outlineLevel="0" collapsed="false">
      <c r="B8" s="20" t="n">
        <v>40</v>
      </c>
      <c r="C8" s="20" t="n">
        <v>1</v>
      </c>
      <c r="D8" s="21" t="n">
        <v>0.8</v>
      </c>
      <c r="E8" s="21" t="n">
        <v>0.8</v>
      </c>
      <c r="F8" s="21" t="n">
        <v>1.5</v>
      </c>
      <c r="G8" s="21" t="n">
        <v>3.7</v>
      </c>
      <c r="H8" s="21" t="n">
        <v>4.8</v>
      </c>
      <c r="I8" s="21" t="n">
        <v>11.4</v>
      </c>
      <c r="J8" s="21" t="n">
        <v>21.9</v>
      </c>
      <c r="K8" s="17" t="str">
        <f aca="false">IF(ISNUMBER(G8),IF(G8&lt;=README!$C$33,"PASS","SLOW"),"")</f>
        <v>PASS</v>
      </c>
      <c r="L8" s="18"/>
    </row>
    <row r="9" customFormat="false" ht="15" hidden="false" customHeight="true" outlineLevel="0" collapsed="false">
      <c r="B9" s="20" t="n">
        <v>40</v>
      </c>
      <c r="C9" s="20" t="n">
        <v>2</v>
      </c>
      <c r="D9" s="21" t="n">
        <v>0.8</v>
      </c>
      <c r="E9" s="21" t="n">
        <v>0.8</v>
      </c>
      <c r="F9" s="21" t="n">
        <v>1.5</v>
      </c>
      <c r="G9" s="21" t="n">
        <v>3</v>
      </c>
      <c r="H9" s="21" t="n">
        <v>5</v>
      </c>
      <c r="I9" s="21" t="n">
        <v>8.3</v>
      </c>
      <c r="J9" s="21" t="n">
        <v>20.6</v>
      </c>
      <c r="K9" s="17" t="str">
        <f aca="false">IF(ISNUMBER(G9),IF(G9&lt;=README!$C$33,"PASS","SLOW"),"")</f>
        <v>PASS</v>
      </c>
      <c r="L9" s="18"/>
    </row>
    <row r="10" customFormat="false" ht="15" hidden="false" customHeight="true" outlineLevel="0" collapsed="false">
      <c r="B10" s="20" t="n">
        <v>40</v>
      </c>
      <c r="C10" s="20" t="n">
        <v>3</v>
      </c>
      <c r="D10" s="21" t="n">
        <v>0.8</v>
      </c>
      <c r="E10" s="21" t="n">
        <v>0.8</v>
      </c>
      <c r="F10" s="21" t="n">
        <v>1.5</v>
      </c>
      <c r="G10" s="21" t="n">
        <v>3</v>
      </c>
      <c r="H10" s="21" t="n">
        <v>5.1</v>
      </c>
      <c r="I10" s="21" t="n">
        <v>13</v>
      </c>
      <c r="J10" s="21" t="n">
        <v>22</v>
      </c>
      <c r="K10" s="17" t="str">
        <f aca="false">IF(ISNUMBER(G10),IF(G10&lt;=README!$C$33,"PASS","SLOW"),"")</f>
        <v>PASS</v>
      </c>
      <c r="L10" s="18"/>
    </row>
    <row r="11" customFormat="false" ht="15" hidden="false" customHeight="true" outlineLevel="0" collapsed="false">
      <c r="B11" s="20" t="n">
        <v>50</v>
      </c>
      <c r="C11" s="20" t="n">
        <v>1</v>
      </c>
      <c r="D11" s="21" t="n">
        <v>0.7</v>
      </c>
      <c r="E11" s="21" t="n">
        <v>0.8</v>
      </c>
      <c r="F11" s="21" t="n">
        <v>0.9</v>
      </c>
      <c r="G11" s="21" t="n">
        <v>2.3</v>
      </c>
      <c r="H11" s="21" t="n">
        <v>3.7</v>
      </c>
      <c r="I11" s="21" t="n">
        <v>9.7</v>
      </c>
      <c r="J11" s="21" t="n">
        <v>23.1</v>
      </c>
      <c r="K11" s="17" t="str">
        <f aca="false">IF(ISNUMBER(G11),IF(G11&lt;=README!$C$33,"PASS","SLOW"),"")</f>
        <v>PASS</v>
      </c>
      <c r="L11" s="18"/>
    </row>
    <row r="12" customFormat="false" ht="15" hidden="false" customHeight="true" outlineLevel="0" collapsed="false">
      <c r="B12" s="20" t="n">
        <v>50</v>
      </c>
      <c r="C12" s="20" t="n">
        <v>2</v>
      </c>
      <c r="D12" s="21" t="n">
        <v>0.7</v>
      </c>
      <c r="E12" s="21" t="n">
        <v>0.8</v>
      </c>
      <c r="F12" s="21" t="n">
        <v>0.9</v>
      </c>
      <c r="G12" s="21" t="n">
        <v>1.5</v>
      </c>
      <c r="H12" s="21" t="n">
        <v>3.6</v>
      </c>
      <c r="I12" s="21" t="n">
        <v>10.4</v>
      </c>
      <c r="J12" s="21" t="n">
        <v>23.4</v>
      </c>
      <c r="K12" s="17" t="str">
        <f aca="false">IF(ISNUMBER(G12),IF(G12&lt;=README!$C$33,"PASS","SLOW"),"")</f>
        <v>PASS</v>
      </c>
      <c r="L12" s="18"/>
    </row>
    <row r="13" customFormat="false" ht="15" hidden="false" customHeight="true" outlineLevel="0" collapsed="false">
      <c r="B13" s="20" t="n">
        <v>50</v>
      </c>
      <c r="C13" s="20" t="n">
        <v>3</v>
      </c>
      <c r="D13" s="21" t="n">
        <v>0.7</v>
      </c>
      <c r="E13" s="21" t="n">
        <v>0.8</v>
      </c>
      <c r="F13" s="21" t="n">
        <v>0.9</v>
      </c>
      <c r="G13" s="21" t="n">
        <v>2.3</v>
      </c>
      <c r="H13" s="21" t="n">
        <v>3.6</v>
      </c>
      <c r="I13" s="21" t="n">
        <v>9.6</v>
      </c>
      <c r="J13" s="21" t="n">
        <v>23.3</v>
      </c>
      <c r="K13" s="17" t="str">
        <f aca="false">IF(ISNUMBER(G13),IF(G13&lt;=README!$C$33,"PASS","SLOW"),"")</f>
        <v>PASS</v>
      </c>
      <c r="L13" s="18"/>
    </row>
    <row r="14" customFormat="false" ht="15" hidden="false" customHeight="true" outlineLevel="0" collapsed="false">
      <c r="B14" s="20" t="n">
        <v>57</v>
      </c>
      <c r="C14" s="20" t="n">
        <v>1</v>
      </c>
      <c r="D14" s="21" t="n">
        <v>0.8</v>
      </c>
      <c r="E14" s="21" t="n">
        <v>1.3</v>
      </c>
      <c r="F14" s="21" t="n">
        <v>1.6</v>
      </c>
      <c r="G14" s="21" t="n">
        <v>2.2</v>
      </c>
      <c r="H14" s="21" t="n">
        <v>3.6</v>
      </c>
      <c r="I14" s="21" t="n">
        <v>10.3</v>
      </c>
      <c r="J14" s="21" t="n">
        <v>23.5</v>
      </c>
      <c r="K14" s="17" t="str">
        <f aca="false">IF(ISNUMBER(G14),IF(G14&lt;=README!$C$33,"PASS","SLOW"),"")</f>
        <v>PASS</v>
      </c>
      <c r="L14" s="18"/>
    </row>
    <row r="15" customFormat="false" ht="15" hidden="false" customHeight="true" outlineLevel="0" collapsed="false">
      <c r="B15" s="20" t="n">
        <v>57</v>
      </c>
      <c r="C15" s="20" t="n">
        <v>2</v>
      </c>
      <c r="D15" s="21" t="n">
        <v>0.8</v>
      </c>
      <c r="E15" s="21" t="n">
        <v>1.3</v>
      </c>
      <c r="F15" s="21" t="n">
        <v>1.6</v>
      </c>
      <c r="G15" s="21" t="n">
        <v>2.3</v>
      </c>
      <c r="H15" s="21" t="n">
        <v>3.9</v>
      </c>
      <c r="I15" s="21" t="n">
        <v>8.5</v>
      </c>
      <c r="J15" s="21" t="n">
        <v>23.3</v>
      </c>
      <c r="K15" s="17" t="str">
        <f aca="false">IF(ISNUMBER(G15),IF(G15&lt;=README!$C$33,"PASS","SLOW"),"")</f>
        <v>PASS</v>
      </c>
      <c r="L15" s="18"/>
    </row>
    <row r="16" customFormat="false" ht="15" hidden="false" customHeight="true" outlineLevel="0" collapsed="false">
      <c r="B16" s="20" t="n">
        <v>57</v>
      </c>
      <c r="C16" s="20" t="n">
        <v>3</v>
      </c>
      <c r="D16" s="21" t="n">
        <v>0.9</v>
      </c>
      <c r="E16" s="21" t="n">
        <v>0.9</v>
      </c>
      <c r="F16" s="21" t="n">
        <v>1</v>
      </c>
      <c r="G16" s="21" t="n">
        <v>1.5</v>
      </c>
      <c r="H16" s="21" t="n">
        <v>3.6</v>
      </c>
      <c r="I16" s="21" t="n">
        <v>11.4</v>
      </c>
      <c r="J16" s="21" t="n">
        <v>23.2</v>
      </c>
      <c r="K16" s="17" t="str">
        <f aca="false">IF(ISNUMBER(G16),IF(G16&lt;=README!$C$33,"PASS","SLOW"),"")</f>
        <v>PASS</v>
      </c>
      <c r="L16" s="18"/>
    </row>
    <row r="17" customFormat="false" ht="15" hidden="false" customHeight="true" outlineLevel="0" collapsed="false">
      <c r="B17" s="20" t="n">
        <v>70</v>
      </c>
      <c r="C17" s="20" t="n">
        <v>1</v>
      </c>
      <c r="D17" s="21" t="n">
        <v>0.9</v>
      </c>
      <c r="E17" s="21" t="n">
        <v>0.9</v>
      </c>
      <c r="F17" s="21" t="n">
        <v>1</v>
      </c>
      <c r="G17" s="21" t="n">
        <v>1</v>
      </c>
      <c r="H17" s="21" t="n">
        <v>1.5</v>
      </c>
      <c r="I17" s="21" t="n">
        <v>7</v>
      </c>
      <c r="J17" s="21" t="n">
        <v>24.9</v>
      </c>
      <c r="K17" s="17" t="str">
        <f aca="false">IF(ISNUMBER(G17),IF(G17&lt;=README!$C$33,"PASS","SLOW"),"")</f>
        <v>PASS</v>
      </c>
      <c r="L17" s="18"/>
    </row>
    <row r="18" customFormat="false" ht="15" hidden="false" customHeight="true" outlineLevel="0" collapsed="false">
      <c r="B18" s="20" t="n">
        <v>70</v>
      </c>
      <c r="C18" s="20" t="n">
        <v>2</v>
      </c>
      <c r="D18" s="21" t="n">
        <v>0.9</v>
      </c>
      <c r="E18" s="21" t="n">
        <v>0.9</v>
      </c>
      <c r="F18" s="21" t="n">
        <v>1</v>
      </c>
      <c r="G18" s="21" t="n">
        <v>1</v>
      </c>
      <c r="H18" s="21" t="n">
        <v>1.6</v>
      </c>
      <c r="I18" s="21" t="n">
        <v>8.7</v>
      </c>
      <c r="J18" s="21" t="n">
        <v>23.6</v>
      </c>
      <c r="K18" s="17" t="str">
        <f aca="false">IF(ISNUMBER(G18),IF(G18&lt;=README!$C$33,"PASS","SLOW"),"")</f>
        <v>PASS</v>
      </c>
      <c r="L18" s="18"/>
    </row>
    <row r="19" customFormat="false" ht="15" hidden="false" customHeight="true" outlineLevel="0" collapsed="false">
      <c r="B19" s="20" t="n">
        <v>70</v>
      </c>
      <c r="C19" s="20" t="n">
        <v>3</v>
      </c>
      <c r="D19" s="21" t="n">
        <v>0.9</v>
      </c>
      <c r="E19" s="21" t="n">
        <v>0.9</v>
      </c>
      <c r="F19" s="21" t="n">
        <v>1</v>
      </c>
      <c r="G19" s="21" t="n">
        <v>1</v>
      </c>
      <c r="H19" s="21" t="n">
        <v>1.5</v>
      </c>
      <c r="I19" s="21" t="n">
        <v>7.3</v>
      </c>
      <c r="J19" s="21" t="n">
        <v>24</v>
      </c>
      <c r="K19" s="17" t="str">
        <f aca="false">IF(ISNUMBER(G19),IF(G19&lt;=README!$C$33,"PASS","SLOW"),"")</f>
        <v>PASS</v>
      </c>
      <c r="L19" s="18"/>
    </row>
    <row r="20" customFormat="false" ht="15" hidden="false" customHeight="true" outlineLevel="0" collapsed="false">
      <c r="B20" s="20" t="n">
        <v>80</v>
      </c>
      <c r="C20" s="20" t="n">
        <v>1</v>
      </c>
      <c r="D20" s="21" t="n">
        <v>0.9</v>
      </c>
      <c r="E20" s="21" t="n">
        <v>0.9</v>
      </c>
      <c r="F20" s="21" t="n">
        <v>1</v>
      </c>
      <c r="G20" s="21" t="n">
        <v>1.3</v>
      </c>
      <c r="H20" s="21" t="n">
        <v>1.6</v>
      </c>
      <c r="I20" s="21" t="n">
        <v>8.1</v>
      </c>
      <c r="J20" s="21" t="n">
        <v>23.9</v>
      </c>
      <c r="K20" s="17" t="str">
        <f aca="false">IF(ISNUMBER(G20),IF(G20&lt;=README!$C$33,"PASS","SLOW"),"")</f>
        <v>PASS</v>
      </c>
      <c r="L20" s="18"/>
    </row>
    <row r="21" customFormat="false" ht="15" hidden="false" customHeight="true" outlineLevel="0" collapsed="false">
      <c r="B21" s="20" t="n">
        <v>80</v>
      </c>
      <c r="C21" s="20" t="n">
        <v>2</v>
      </c>
      <c r="D21" s="21" t="n">
        <v>0.9</v>
      </c>
      <c r="E21" s="21" t="n">
        <v>1</v>
      </c>
      <c r="F21" s="21" t="n">
        <v>1</v>
      </c>
      <c r="G21" s="21" t="n">
        <v>1.3</v>
      </c>
      <c r="H21" s="21" t="n">
        <v>1.6</v>
      </c>
      <c r="I21" s="21" t="n">
        <v>8.3</v>
      </c>
      <c r="J21" s="21" t="n">
        <v>24.3</v>
      </c>
      <c r="K21" s="17" t="str">
        <f aca="false">IF(ISNUMBER(G21),IF(G21&lt;=README!$C$33,"PASS","SLOW"),"")</f>
        <v>PASS</v>
      </c>
      <c r="L21" s="18"/>
    </row>
    <row r="22" customFormat="false" ht="15" hidden="false" customHeight="true" outlineLevel="0" collapsed="false">
      <c r="B22" s="20" t="n">
        <v>80</v>
      </c>
      <c r="C22" s="20" t="n">
        <v>3</v>
      </c>
      <c r="D22" s="21" t="n">
        <v>0.9</v>
      </c>
      <c r="E22" s="21" t="n">
        <v>0.9</v>
      </c>
      <c r="F22" s="21" t="n">
        <v>1.2</v>
      </c>
      <c r="G22" s="21" t="n">
        <v>1.3</v>
      </c>
      <c r="H22" s="21" t="n">
        <v>1.5</v>
      </c>
      <c r="I22" s="21" t="n">
        <v>9.8</v>
      </c>
      <c r="J22" s="21" t="n">
        <v>24.2</v>
      </c>
      <c r="K22" s="17" t="str">
        <f aca="false">IF(ISNUMBER(G22),IF(G22&lt;=README!$C$33,"PASS","SLOW"),"")</f>
        <v>PASS</v>
      </c>
      <c r="L22" s="18"/>
    </row>
    <row r="24" customFormat="false" ht="15" hidden="false" customHeight="true" outlineLevel="0" collapsed="false">
      <c r="B24" s="9" t="s">
        <v>94</v>
      </c>
      <c r="G24" s="15" t="n">
        <f aca="false">IF(COUNT(G8:G22)&gt;0,AVERAGE(G8:G22),"")</f>
        <v>1.91333333333333</v>
      </c>
      <c r="H24" s="7" t="s">
        <v>95</v>
      </c>
    </row>
    <row r="25" customFormat="false" ht="15" hidden="false" customHeight="true" outlineLevel="0" collapsed="false">
      <c r="B25" s="3" t="s">
        <v>96</v>
      </c>
      <c r="G25" s="15" t="n">
        <f aca="false">IF(COUNT(G8:G22)&gt;0,MAX(G8:G22),"")</f>
        <v>3.7</v>
      </c>
      <c r="H25" s="7" t="s">
        <v>97</v>
      </c>
    </row>
    <row r="26" customFormat="false" ht="15" hidden="false" customHeight="true" outlineLevel="0" collapsed="false">
      <c r="B26" s="3" t="s">
        <v>98</v>
      </c>
      <c r="G26" s="15" t="n">
        <f aca="false">IF(COUNT(J8:J22)&gt;0,AVERAGE(J8:J22),"")</f>
        <v>23.28</v>
      </c>
      <c r="H26" s="7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6" activeCellId="0" sqref="K16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4"/>
    <col collapsed="false" customWidth="true" hidden="false" outlineLevel="0" max="6" min="6" style="0" width="60"/>
  </cols>
  <sheetData>
    <row r="2" customFormat="false" ht="15.75" hidden="false" customHeight="true" outlineLevel="0" collapsed="false">
      <c r="B2" s="22" t="s">
        <v>99</v>
      </c>
    </row>
    <row r="3" customFormat="false" ht="15" hidden="false" customHeight="true" outlineLevel="0" collapsed="false">
      <c r="B3" s="7" t="s">
        <v>100</v>
      </c>
    </row>
    <row r="5" customFormat="false" ht="15" hidden="false" customHeight="true" outlineLevel="0" collapsed="false">
      <c r="A5" s="11"/>
      <c r="B5" s="11" t="s">
        <v>95</v>
      </c>
      <c r="C5" s="11" t="s">
        <v>101</v>
      </c>
      <c r="D5" s="11" t="s">
        <v>102</v>
      </c>
    </row>
    <row r="6" customFormat="false" ht="15" hidden="false" customHeight="true" outlineLevel="0" collapsed="false">
      <c r="B6" s="18" t="n">
        <v>0</v>
      </c>
      <c r="C6" s="18" t="n">
        <v>1978</v>
      </c>
      <c r="D6" s="18" t="n">
        <v>-0.2</v>
      </c>
    </row>
    <row r="7" customFormat="false" ht="15" hidden="false" customHeight="true" outlineLevel="0" collapsed="false">
      <c r="B7" s="18" t="n">
        <v>1</v>
      </c>
      <c r="C7" s="18" t="n">
        <v>1396</v>
      </c>
      <c r="D7" s="18" t="n">
        <v>17.22</v>
      </c>
    </row>
    <row r="8" customFormat="false" ht="15" hidden="false" customHeight="true" outlineLevel="0" collapsed="false">
      <c r="B8" s="18" t="n">
        <v>2</v>
      </c>
      <c r="C8" s="18" t="n">
        <v>1340</v>
      </c>
      <c r="D8" s="18" t="n">
        <v>18.91</v>
      </c>
    </row>
    <row r="9" customFormat="false" ht="15" hidden="false" customHeight="true" outlineLevel="0" collapsed="false">
      <c r="B9" s="18" t="n">
        <v>3</v>
      </c>
      <c r="C9" s="18" t="n">
        <v>1347</v>
      </c>
      <c r="D9" s="18" t="n">
        <v>18.7</v>
      </c>
    </row>
    <row r="10" customFormat="false" ht="15" hidden="false" customHeight="true" outlineLevel="0" collapsed="false">
      <c r="B10" s="18" t="n">
        <v>4</v>
      </c>
      <c r="C10" s="18" t="n">
        <v>1328</v>
      </c>
      <c r="D10" s="18" t="n">
        <v>19.26</v>
      </c>
    </row>
    <row r="11" customFormat="false" ht="15" hidden="false" customHeight="true" outlineLevel="0" collapsed="false">
      <c r="B11" s="18" t="n">
        <v>5</v>
      </c>
      <c r="C11" s="18" t="n">
        <v>1290</v>
      </c>
      <c r="D11" s="18" t="n">
        <v>20.38</v>
      </c>
    </row>
    <row r="12" customFormat="false" ht="15" hidden="false" customHeight="true" outlineLevel="0" collapsed="false">
      <c r="B12" s="18" t="n">
        <v>6</v>
      </c>
      <c r="C12" s="18" t="n">
        <v>1268</v>
      </c>
      <c r="D12" s="18" t="n">
        <v>21.05</v>
      </c>
    </row>
    <row r="13" customFormat="false" ht="15" hidden="false" customHeight="true" outlineLevel="0" collapsed="false">
      <c r="B13" s="18" t="n">
        <v>7</v>
      </c>
      <c r="C13" s="18" t="n">
        <v>1263</v>
      </c>
      <c r="D13" s="18" t="n">
        <v>21.21</v>
      </c>
    </row>
    <row r="14" customFormat="false" ht="15" hidden="false" customHeight="true" outlineLevel="0" collapsed="false">
      <c r="B14" s="18" t="n">
        <v>8</v>
      </c>
      <c r="C14" s="18" t="n">
        <v>1271</v>
      </c>
      <c r="D14" s="18" t="n">
        <v>20.95</v>
      </c>
    </row>
    <row r="15" customFormat="false" ht="15" hidden="false" customHeight="true" outlineLevel="0" collapsed="false">
      <c r="B15" s="18" t="n">
        <v>9</v>
      </c>
      <c r="C15" s="18" t="n">
        <v>1269</v>
      </c>
      <c r="D15" s="18" t="n">
        <v>21.01</v>
      </c>
    </row>
    <row r="16" customFormat="false" ht="15" hidden="false" customHeight="true" outlineLevel="0" collapsed="false">
      <c r="B16" s="18" t="n">
        <v>10</v>
      </c>
      <c r="C16" s="18" t="n">
        <v>1274</v>
      </c>
      <c r="D16" s="18" t="n">
        <v>20.86</v>
      </c>
    </row>
    <row r="17" customFormat="false" ht="15" hidden="false" customHeight="true" outlineLevel="0" collapsed="false">
      <c r="B17" s="18" t="n">
        <v>11</v>
      </c>
      <c r="C17" s="18" t="n">
        <v>1269</v>
      </c>
      <c r="D17" s="18" t="n">
        <v>21.01</v>
      </c>
    </row>
    <row r="18" customFormat="false" ht="15" hidden="false" customHeight="true" outlineLevel="0" collapsed="false">
      <c r="B18" s="18" t="n">
        <v>12</v>
      </c>
      <c r="C18" s="18" t="n">
        <v>1271</v>
      </c>
      <c r="D18" s="18" t="n">
        <v>20.98</v>
      </c>
    </row>
    <row r="19" customFormat="false" ht="15" hidden="false" customHeight="true" outlineLevel="0" collapsed="false">
      <c r="B19" s="18" t="n">
        <v>13</v>
      </c>
      <c r="C19" s="18" t="n">
        <v>1268</v>
      </c>
      <c r="D19" s="18" t="n">
        <v>21.05</v>
      </c>
    </row>
    <row r="20" customFormat="false" ht="15" hidden="false" customHeight="true" outlineLevel="0" collapsed="false">
      <c r="B20" s="18" t="n">
        <v>14</v>
      </c>
      <c r="C20" s="18" t="n">
        <v>1280</v>
      </c>
      <c r="D20" s="18" t="n">
        <v>20.71</v>
      </c>
    </row>
    <row r="21" customFormat="false" ht="15" hidden="false" customHeight="true" outlineLevel="0" collapsed="false">
      <c r="B21" s="18" t="n">
        <v>15</v>
      </c>
      <c r="C21" s="18" t="n">
        <v>1273</v>
      </c>
      <c r="D21" s="18" t="n">
        <v>20.91</v>
      </c>
    </row>
    <row r="22" customFormat="false" ht="15" hidden="false" customHeight="true" outlineLevel="0" collapsed="false">
      <c r="B22" s="18" t="n">
        <v>16</v>
      </c>
      <c r="C22" s="18" t="n">
        <v>1270</v>
      </c>
      <c r="D22" s="18" t="n">
        <v>20.98</v>
      </c>
    </row>
    <row r="23" customFormat="false" ht="15" hidden="false" customHeight="true" outlineLevel="0" collapsed="false">
      <c r="B23" s="18" t="n">
        <v>17</v>
      </c>
      <c r="C23" s="18" t="n">
        <v>1268</v>
      </c>
      <c r="D23" s="18" t="n">
        <v>21.05</v>
      </c>
    </row>
    <row r="24" customFormat="false" ht="15" hidden="false" customHeight="true" outlineLevel="0" collapsed="false">
      <c r="B24" s="18" t="n">
        <v>18</v>
      </c>
      <c r="C24" s="18" t="n">
        <v>1279</v>
      </c>
      <c r="D24" s="18" t="n">
        <v>20.73</v>
      </c>
    </row>
    <row r="25" customFormat="false" ht="15" hidden="false" customHeight="true" outlineLevel="0" collapsed="false">
      <c r="B25" s="18" t="n">
        <v>19</v>
      </c>
      <c r="C25" s="18" t="n">
        <v>1268</v>
      </c>
      <c r="D25" s="18" t="n">
        <v>21.05</v>
      </c>
    </row>
    <row r="26" customFormat="false" ht="15" hidden="false" customHeight="true" outlineLevel="0" collapsed="false">
      <c r="B26" s="18" t="n">
        <v>20</v>
      </c>
      <c r="C26" s="18" t="n">
        <v>1274</v>
      </c>
      <c r="D26" s="18" t="n">
        <v>20.88</v>
      </c>
    </row>
    <row r="27" customFormat="false" ht="15" hidden="false" customHeight="true" outlineLevel="0" collapsed="false">
      <c r="B27" s="18" t="n">
        <v>21</v>
      </c>
      <c r="C27" s="18" t="n">
        <v>1273</v>
      </c>
      <c r="D27" s="18" t="n">
        <v>20.9</v>
      </c>
    </row>
    <row r="28" customFormat="false" ht="15" hidden="false" customHeight="true" outlineLevel="0" collapsed="false">
      <c r="B28" s="18" t="n">
        <v>22</v>
      </c>
      <c r="C28" s="18" t="n">
        <v>1273</v>
      </c>
      <c r="D28" s="18" t="n">
        <v>20.91</v>
      </c>
    </row>
    <row r="29" customFormat="false" ht="15" hidden="false" customHeight="true" outlineLevel="0" collapsed="false">
      <c r="B29" s="18" t="n">
        <v>23</v>
      </c>
      <c r="C29" s="18" t="n">
        <v>1273</v>
      </c>
      <c r="D29" s="18" t="n">
        <v>20.91</v>
      </c>
    </row>
    <row r="30" customFormat="false" ht="15" hidden="false" customHeight="true" outlineLevel="0" collapsed="false">
      <c r="B30" s="18" t="n">
        <v>24</v>
      </c>
      <c r="C30" s="18" t="n">
        <v>1282</v>
      </c>
      <c r="D30" s="18" t="n">
        <v>20.63</v>
      </c>
    </row>
    <row r="31" customFormat="false" ht="15" hidden="false" customHeight="true" outlineLevel="0" collapsed="false">
      <c r="B31" s="18" t="n">
        <v>25</v>
      </c>
      <c r="C31" s="18" t="n">
        <v>1271</v>
      </c>
      <c r="D31" s="18" t="n">
        <v>20.96</v>
      </c>
    </row>
    <row r="32" customFormat="false" ht="15" hidden="false" customHeight="true" outlineLevel="0" collapsed="false">
      <c r="B32" s="18" t="n">
        <v>26</v>
      </c>
      <c r="C32" s="18" t="n">
        <v>1276</v>
      </c>
      <c r="D32" s="18" t="n">
        <v>20.81</v>
      </c>
    </row>
    <row r="33" customFormat="false" ht="15" hidden="false" customHeight="true" outlineLevel="0" collapsed="false">
      <c r="B33" s="18" t="n">
        <v>27</v>
      </c>
      <c r="C33" s="18" t="n">
        <v>1271</v>
      </c>
      <c r="D33" s="18" t="n">
        <v>20.96</v>
      </c>
    </row>
    <row r="34" customFormat="false" ht="15" hidden="false" customHeight="true" outlineLevel="0" collapsed="false">
      <c r="B34" s="18" t="n">
        <v>28</v>
      </c>
      <c r="C34" s="18" t="n">
        <v>1273</v>
      </c>
      <c r="D34" s="18" t="n">
        <v>20.89</v>
      </c>
    </row>
    <row r="35" customFormat="false" ht="15" hidden="false" customHeight="true" outlineLevel="0" collapsed="false">
      <c r="B35" s="18" t="n">
        <v>29</v>
      </c>
      <c r="C35" s="18" t="n">
        <v>1280</v>
      </c>
      <c r="D35" s="18" t="n">
        <v>20.7</v>
      </c>
    </row>
    <row r="36" customFormat="false" ht="15" hidden="false" customHeight="true" outlineLevel="0" collapsed="false">
      <c r="B36" s="18" t="n">
        <v>30</v>
      </c>
      <c r="C36" s="18" t="n">
        <v>1275</v>
      </c>
      <c r="D36" s="18" t="n">
        <v>20.84</v>
      </c>
    </row>
    <row r="37" customFormat="false" ht="15" hidden="false" customHeight="true" outlineLevel="0" collapsed="false">
      <c r="B37" s="18" t="n">
        <v>31</v>
      </c>
      <c r="C37" s="18" t="n">
        <v>1275</v>
      </c>
      <c r="D37" s="18" t="n">
        <v>20.85</v>
      </c>
    </row>
    <row r="38" customFormat="false" ht="15" hidden="false" customHeight="true" outlineLevel="0" collapsed="false">
      <c r="B38" s="18" t="n">
        <v>32</v>
      </c>
      <c r="C38" s="18" t="n">
        <v>1279</v>
      </c>
      <c r="D38" s="18" t="n">
        <v>20.71</v>
      </c>
    </row>
    <row r="39" customFormat="false" ht="15" hidden="false" customHeight="true" outlineLevel="0" collapsed="false">
      <c r="B39" s="18" t="n">
        <v>33</v>
      </c>
      <c r="C39" s="18" t="n">
        <v>1286</v>
      </c>
      <c r="D39" s="18" t="n">
        <v>20.5</v>
      </c>
    </row>
    <row r="40" customFormat="false" ht="15" hidden="false" customHeight="true" outlineLevel="0" collapsed="false">
      <c r="B40" s="18" t="n">
        <v>34</v>
      </c>
      <c r="C40" s="18" t="n">
        <v>1283</v>
      </c>
      <c r="D40" s="18" t="n">
        <v>20.6</v>
      </c>
    </row>
    <row r="41" customFormat="false" ht="15" hidden="false" customHeight="true" outlineLevel="0" collapsed="false">
      <c r="B41" s="18" t="n">
        <v>35</v>
      </c>
      <c r="C41" s="18" t="n">
        <v>1279</v>
      </c>
      <c r="D41" s="18" t="n">
        <v>20.73</v>
      </c>
    </row>
    <row r="42" customFormat="false" ht="15" hidden="false" customHeight="true" outlineLevel="0" collapsed="false">
      <c r="B42" s="18" t="n">
        <v>36</v>
      </c>
      <c r="C42" s="18" t="n">
        <v>1280</v>
      </c>
      <c r="D42" s="18" t="n">
        <v>20.71</v>
      </c>
    </row>
    <row r="43" customFormat="false" ht="15" hidden="false" customHeight="true" outlineLevel="0" collapsed="false">
      <c r="B43" s="18" t="n">
        <v>37</v>
      </c>
      <c r="C43" s="18" t="n">
        <v>1282</v>
      </c>
      <c r="D43" s="18" t="n">
        <v>20.62</v>
      </c>
    </row>
    <row r="44" customFormat="false" ht="15" hidden="false" customHeight="true" outlineLevel="0" collapsed="false">
      <c r="B44" s="18" t="n">
        <v>38</v>
      </c>
      <c r="C44" s="18" t="n">
        <v>1275</v>
      </c>
      <c r="D44" s="18" t="n">
        <v>20.83</v>
      </c>
    </row>
    <row r="45" customFormat="false" ht="15" hidden="false" customHeight="true" outlineLevel="0" collapsed="false">
      <c r="B45" s="18" t="n">
        <v>39</v>
      </c>
      <c r="C45" s="18" t="n">
        <v>1283</v>
      </c>
      <c r="D45" s="18" t="n">
        <v>20.59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2026-08-23T16:11:08Z</dcterms:created>
  <dc:creator>openpyxl</dc:creator>
  <dc:description/>
  <dc:language>en-US</dc:language>
  <cp:lastModifiedBy/>
  <dcterms:modified xsi:type="dcterms:W3CDTF">2026-08-24T17:51:50Z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